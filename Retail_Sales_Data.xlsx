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58375B04-2456-49FF-8DA0-0AFD3C8C34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2" r:id="rId1"/>
    <sheet name="Pivotdata" sheetId="4" r:id="rId2"/>
    <sheet name="Sales Data" sheetId="1" r:id="rId3"/>
  </sheets>
  <calcPr calcId="191029" iterateDelta="1E-4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3" i="1" l="1"/>
  <c r="C223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<sst xmlns="http://schemas.openxmlformats.org/spreadsheetml/2006/main" count="751" uniqueCount="68">
  <si>
    <t>Product Name</t>
  </si>
  <si>
    <t>Category</t>
  </si>
  <si>
    <t>Quantity Sold</t>
  </si>
  <si>
    <t>Price</t>
  </si>
  <si>
    <t>Date</t>
  </si>
  <si>
    <t>Customer Location</t>
  </si>
  <si>
    <t>Total Sales</t>
  </si>
  <si>
    <t>Printer Paper Ream</t>
  </si>
  <si>
    <t>Stationery</t>
  </si>
  <si>
    <t>Batticaloa</t>
  </si>
  <si>
    <t>Ratnapura</t>
  </si>
  <si>
    <t>Kurunegala</t>
  </si>
  <si>
    <t>Dish Wash Liquid</t>
  </si>
  <si>
    <t>Household</t>
  </si>
  <si>
    <t>Matara</t>
  </si>
  <si>
    <t>Notebook A5</t>
  </si>
  <si>
    <t>Air Freshener</t>
  </si>
  <si>
    <t>Kandy</t>
  </si>
  <si>
    <t>Bath Soap Pack</t>
  </si>
  <si>
    <t>Personal Care</t>
  </si>
  <si>
    <t>Potato Chips 150g</t>
  </si>
  <si>
    <t>Snacks</t>
  </si>
  <si>
    <t>Negombo</t>
  </si>
  <si>
    <t>Toothpaste 100g</t>
  </si>
  <si>
    <t>Colombo</t>
  </si>
  <si>
    <t>Laundry Detergent 1kg</t>
  </si>
  <si>
    <t>Jaffna</t>
  </si>
  <si>
    <t>Shampoo 350ml</t>
  </si>
  <si>
    <t>Tea Leaves 400g</t>
  </si>
  <si>
    <t>Groceries</t>
  </si>
  <si>
    <t>Ball Pen Pack</t>
  </si>
  <si>
    <t>Galle</t>
  </si>
  <si>
    <t>Toilet Tissue 6-Pack</t>
  </si>
  <si>
    <t>Mineral Water 1L</t>
  </si>
  <si>
    <t>Beverages</t>
  </si>
  <si>
    <t>Chocolate Bar</t>
  </si>
  <si>
    <t>Milk Powder 400g</t>
  </si>
  <si>
    <t>Energy Drink Can</t>
  </si>
  <si>
    <t>Biscuits Family Pack</t>
  </si>
  <si>
    <t>Anuradhapura</t>
  </si>
  <si>
    <t>Hand Sanitizer 250ml</t>
  </si>
  <si>
    <t>Soft Drink 1.5L</t>
  </si>
  <si>
    <t>Sunflower Oil 1L</t>
  </si>
  <si>
    <t>Instant Noodles Pack</t>
  </si>
  <si>
    <t>Wheat Flour 1kg</t>
  </si>
  <si>
    <t>Sugar 1kg</t>
  </si>
  <si>
    <t>Fruit Juice 1L</t>
  </si>
  <si>
    <t>Basmati Rice 5kg</t>
  </si>
  <si>
    <t>TOTAL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</si>
  <si>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</si>
  <si>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</si>
  <si>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</si>
  <si>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</si>
  <si>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</si>
  <si>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</si>
  <si>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</si>
  <si>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</si>
  <si>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</si>
  <si>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</si>
  <si>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</si>
  <si>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</si>
  <si>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</si>
  <si>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</si>
  <si>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Sales</t>
  </si>
  <si>
    <t>Sum of Quantity Sold</t>
  </si>
  <si>
    <t xml:space="preserve"> </t>
  </si>
  <si>
    <t>a`</t>
  </si>
  <si>
    <t>Retail Sales Dashboard —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</si>
</sst>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s. &quot;#,##0.00"/>
    <numFmt numFmtId="165" formatCode="yyyy\-mm\-dd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2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[Retail_Sales_Data.xlsx]Pivotdata!PivotTable1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Pivotdata!$C$14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Pivotdata!$A$15:$A$27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Pivotdata!$C$15:$C$27</c:f>
              <c:numCache>
                <c:formatCode>General</c:formatCode>
                <c:ptCount val="12"/>
                <c:pt idx="0">
                  <c:v>462</c:v>
                </c:pt>
                <c:pt idx="1">
                  <c:v>368</c:v>
                </c:pt>
                <c:pt idx="2">
                  <c:v>454</c:v>
                </c:pt>
                <c:pt idx="3">
                  <c:v>446</c:v>
                </c:pt>
                <c:pt idx="4">
                  <c:v>425</c:v>
                </c:pt>
                <c:pt idx="5">
                  <c:v>451</c:v>
                </c:pt>
                <c:pt idx="6">
                  <c:v>275</c:v>
                </c:pt>
                <c:pt idx="7">
                  <c:v>306</c:v>
                </c:pt>
                <c:pt idx="8">
                  <c:v>267</c:v>
                </c:pt>
                <c:pt idx="9">
                  <c:v>397</c:v>
                </c:pt>
                <c:pt idx="10">
                  <c:v>357</c:v>
                </c:pt>
                <c:pt idx="11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59-483E-BDFA-1ACBE963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317039"/>
        <c:axId val="1046817231"/>
      </c:lineChart>
      <c:lineChart>
        <c:grouping val="standard"/>
        <c:varyColors val="0"/>
        <c:ser>
          <c:idx val="0"/>
          <c:order val="0"/>
          <c:tx>
            <c:strRef>
              <c:f>Pivotdata!$B$14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Pivotdata!$A$15:$A$27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Pivotdata!$B$15:$B$27</c:f>
              <c:numCache>
                <c:formatCode>"Rs. "#,##0.00</c:formatCode>
                <c:ptCount val="12"/>
                <c:pt idx="0">
                  <c:v>234177.06</c:v>
                </c:pt>
                <c:pt idx="1">
                  <c:v>165986.63999999998</c:v>
                </c:pt>
                <c:pt idx="2">
                  <c:v>146585.84000000005</c:v>
                </c:pt>
                <c:pt idx="3">
                  <c:v>193627.94999999998</c:v>
                </c:pt>
                <c:pt idx="4">
                  <c:v>155926.37</c:v>
                </c:pt>
                <c:pt idx="5">
                  <c:v>198107.38999999998</c:v>
                </c:pt>
                <c:pt idx="6">
                  <c:v>82745.909999999989</c:v>
                </c:pt>
                <c:pt idx="7">
                  <c:v>121789.07</c:v>
                </c:pt>
                <c:pt idx="8">
                  <c:v>154818.01</c:v>
                </c:pt>
                <c:pt idx="9">
                  <c:v>127340.53</c:v>
                </c:pt>
                <c:pt idx="10">
                  <c:v>125769.76999999999</c:v>
                </c:pt>
                <c:pt idx="11">
                  <c:v>185172.57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9-483E-BDFA-1ACBE963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497983"/>
        <c:axId val="1046832591"/>
      </c:lineChart>
      <c:catAx>
        <c:axId val="111731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17231"/>
        <c:crosses val="autoZero"/>
        <c:auto val="1"/>
        <c:lblAlgn val="ctr"/>
        <c:lblOffset val="100"/>
        <c:noMultiLvlLbl val="0"/>
      </c:catAx>
      <c:valAx>
        <c:axId val="10468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17039"/>
        <c:crosses val="autoZero"/>
        <c:crossBetween val="between"/>
      </c:valAx>
      <c:valAx>
        <c:axId val="1046832591"/>
        <c:scaling>
          <c:orientation val="minMax"/>
        </c:scaling>
        <c:delete val="0"/>
        <c:axPos val="r"/>
        <c:numFmt formatCode="&quot;Rs. 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97983"/>
        <c:crosses val="max"/>
        <c:crossBetween val="between"/>
      </c:valAx>
      <c:catAx>
        <c:axId val="955497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68325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[Retail_Sales_Data.xlsx]Pivotdata!PivotTable2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Best-Selling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Pivotdata!$E$14:$E$39</c:f>
              <c:strCache>
                <c:ptCount val="25"/>
                <c:pt idx="0">
                  <c:v>Potato Chips 150g</c:v>
                </c:pt>
                <c:pt idx="1">
                  <c:v>Printer Paper Ream</c:v>
                </c:pt>
                <c:pt idx="2">
                  <c:v>Shampoo 350ml</c:v>
                </c:pt>
                <c:pt idx="3">
                  <c:v>Chocolate Bar</c:v>
                </c:pt>
                <c:pt idx="4">
                  <c:v>Dish Wash Liquid</c:v>
                </c:pt>
                <c:pt idx="5">
                  <c:v>Sugar 1kg</c:v>
                </c:pt>
                <c:pt idx="6">
                  <c:v>Energy Drink Can</c:v>
                </c:pt>
                <c:pt idx="7">
                  <c:v>Hand Sanitizer 250ml</c:v>
                </c:pt>
                <c:pt idx="8">
                  <c:v>Fruit Juice 1L</c:v>
                </c:pt>
                <c:pt idx="9">
                  <c:v>Air Freshener</c:v>
                </c:pt>
                <c:pt idx="10">
                  <c:v>Toothpaste 100g</c:v>
                </c:pt>
                <c:pt idx="11">
                  <c:v>Biscuits Family Pack</c:v>
                </c:pt>
                <c:pt idx="12">
                  <c:v>Instant Noodles Pack</c:v>
                </c:pt>
                <c:pt idx="13">
                  <c:v>Ball Pen Pack</c:v>
                </c:pt>
                <c:pt idx="14">
                  <c:v>Notebook A5</c:v>
                </c:pt>
                <c:pt idx="15">
                  <c:v>Wheat Flour 1kg</c:v>
                </c:pt>
                <c:pt idx="16">
                  <c:v>Tea Leaves 400g</c:v>
                </c:pt>
                <c:pt idx="17">
                  <c:v>Sunflower Oil 1L</c:v>
                </c:pt>
                <c:pt idx="18">
                  <c:v>Bath Soap Pack</c:v>
                </c:pt>
                <c:pt idx="19">
                  <c:v>Milk Powder 400g</c:v>
                </c:pt>
                <c:pt idx="20">
                  <c:v>Laundry Detergent 1kg</c:v>
                </c:pt>
                <c:pt idx="21">
                  <c:v>Soft Drink 1.5L</c:v>
                </c:pt>
                <c:pt idx="22">
                  <c:v>Toilet Tissue 6-Pack</c:v>
                </c:pt>
                <c:pt idx="23">
                  <c:v>Mineral Water 1L</c:v>
                </c:pt>
                <c:pt idx="24">
                  <c:v>Basmati Rice 5kg</c:v>
                </c:pt>
              </c:strCache>
            </c:strRef>
          </c:cat>
          <c:val>
            <c:numRef>
              <c:f>Pivotdata!$F$14:$F$39</c:f>
              <c:numCache>
                <c:formatCode>General</c:formatCode>
                <c:ptCount val="25"/>
                <c:pt idx="0">
                  <c:v>369</c:v>
                </c:pt>
                <c:pt idx="1">
                  <c:v>327</c:v>
                </c:pt>
                <c:pt idx="2">
                  <c:v>252</c:v>
                </c:pt>
                <c:pt idx="3">
                  <c:v>252</c:v>
                </c:pt>
                <c:pt idx="4">
                  <c:v>246</c:v>
                </c:pt>
                <c:pt idx="5">
                  <c:v>234</c:v>
                </c:pt>
                <c:pt idx="6">
                  <c:v>225</c:v>
                </c:pt>
                <c:pt idx="7">
                  <c:v>223</c:v>
                </c:pt>
                <c:pt idx="8">
                  <c:v>216</c:v>
                </c:pt>
                <c:pt idx="9">
                  <c:v>211</c:v>
                </c:pt>
                <c:pt idx="10">
                  <c:v>194</c:v>
                </c:pt>
                <c:pt idx="11">
                  <c:v>194</c:v>
                </c:pt>
                <c:pt idx="12">
                  <c:v>193</c:v>
                </c:pt>
                <c:pt idx="13">
                  <c:v>191</c:v>
                </c:pt>
                <c:pt idx="14">
                  <c:v>179</c:v>
                </c:pt>
                <c:pt idx="15">
                  <c:v>176</c:v>
                </c:pt>
                <c:pt idx="16">
                  <c:v>159</c:v>
                </c:pt>
                <c:pt idx="17">
                  <c:v>155</c:v>
                </c:pt>
                <c:pt idx="18">
                  <c:v>148</c:v>
                </c:pt>
                <c:pt idx="19">
                  <c:v>111</c:v>
                </c:pt>
                <c:pt idx="20">
                  <c:v>108</c:v>
                </c:pt>
                <c:pt idx="21">
                  <c:v>107</c:v>
                </c:pt>
                <c:pt idx="22">
                  <c:v>95</c:v>
                </c:pt>
                <c:pt idx="23">
                  <c:v>85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4-4774-8415-4A989CCBC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7320287"/>
        <c:axId val="1046871471"/>
      </c:barChart>
      <c:catAx>
        <c:axId val="1117320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71471"/>
        <c:crosses val="autoZero"/>
        <c:auto val="1"/>
        <c:lblAlgn val="ctr"/>
        <c:lblOffset val="100"/>
        <c:noMultiLvlLbl val="0"/>
      </c:catAx>
      <c:valAx>
        <c:axId val="104687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2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[Retail_Sales_Data.xlsx]Pivotdata!PivotTable3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Pivotdata!$E$1</c:f>
              <c:strCache>
                <c:ptCount val="1"/>
                <c:pt idx="0">
                  <c:v>Sum of Total Sales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Pivotdata!$D$2:$D$8</c:f>
              <c:strCache>
                <c:ptCount val="6"/>
                <c:pt idx="0">
                  <c:v>Beverages</c:v>
                </c:pt>
                <c:pt idx="1">
                  <c:v>Groceries</c:v>
                </c:pt>
                <c:pt idx="2">
                  <c:v>Household</c:v>
                </c:pt>
                <c:pt idx="3">
                  <c:v>Personal Care</c:v>
                </c:pt>
                <c:pt idx="4">
                  <c:v>Snacks</c:v>
                </c:pt>
                <c:pt idx="5">
                  <c:v>Stationery</c:v>
                </c:pt>
              </c:strCache>
            </c:strRef>
          </c:cat>
          <c:val>
            <c:numRef>
              <c:f>Pivotdata!$E$2:$E$8</c:f>
              <c:numCache>
                <c:formatCode>"Rs. "#,##0.00</c:formatCode>
                <c:ptCount val="6"/>
                <c:pt idx="0">
                  <c:v>193307.97999999998</c:v>
                </c:pt>
                <c:pt idx="1">
                  <c:v>424206.29000000004</c:v>
                </c:pt>
                <c:pt idx="2">
                  <c:v>307831.8</c:v>
                </c:pt>
                <c:pt idx="3">
                  <c:v>364109.09</c:v>
                </c:pt>
                <c:pt idx="4">
                  <c:v>217099.14000000004</c:v>
                </c:pt>
                <c:pt idx="5">
                  <c:v>385492.81000000006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8-4D38-9662-754A25A39640}"/>
            </c:ext>
          </c:extLst>
        </c:ser>
        <c:ser>
          <c:idx val="1"/>
          <c:order val="1"/>
          <c:tx>
            <c:strRef>
              <c:f>Pivotdata!$F$1</c:f>
              <c:strCache>
                <c:ptCount val="1"/>
                <c:pt idx="0">
                  <c:v>Sum of Quantity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Pivotdata!$D$2:$D$8</c:f>
              <c:strCache>
                <c:ptCount val="6"/>
                <c:pt idx="0">
                  <c:v>Beverages</c:v>
                </c:pt>
                <c:pt idx="1">
                  <c:v>Groceries</c:v>
                </c:pt>
                <c:pt idx="2">
                  <c:v>Household</c:v>
                </c:pt>
                <c:pt idx="3">
                  <c:v>Personal Care</c:v>
                </c:pt>
                <c:pt idx="4">
                  <c:v>Snacks</c:v>
                </c:pt>
                <c:pt idx="5">
                  <c:v>Stationery</c:v>
                </c:pt>
              </c:strCache>
            </c:strRef>
          </c:cat>
          <c:val>
            <c:numRef>
              <c:f>Pivotdata!$F$2:$F$8</c:f>
              <c:numCache>
                <c:formatCode>General</c:formatCode>
                <c:ptCount val="6"/>
                <c:pt idx="0">
                  <c:v>633</c:v>
                </c:pt>
                <c:pt idx="1">
                  <c:v>1036</c:v>
                </c:pt>
                <c:pt idx="2">
                  <c:v>660</c:v>
                </c:pt>
                <c:pt idx="3">
                  <c:v>817</c:v>
                </c:pt>
                <c:pt idx="4">
                  <c:v>815</c:v>
                </c:pt>
                <c:pt idx="5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8-4D38-9662-754A25A3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[Retail_Sales_Data.xlsx]Pivotdata!PivotTable6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Customer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Pivotdata!$A$2:$A$12</c:f>
              <c:strCache>
                <c:ptCount val="10"/>
                <c:pt idx="0">
                  <c:v>Anuradhapura</c:v>
                </c:pt>
                <c:pt idx="1">
                  <c:v>a`</c:v>
                </c:pt>
                <c:pt idx="2">
                  <c:v>Colombo</c:v>
                </c:pt>
                <c:pt idx="3">
                  <c:v>Galle</c:v>
                </c:pt>
                <c:pt idx="4">
                  <c:v>Jaffna</c:v>
                </c:pt>
                <c:pt idx="5">
                  <c:v>Kandy</c:v>
                </c:pt>
                <c:pt idx="6">
                  <c:v>Kurunegala</c:v>
                </c:pt>
                <c:pt idx="7">
                  <c:v>Matara</c:v>
                </c:pt>
                <c:pt idx="8">
                  <c:v>Negombo</c:v>
                </c:pt>
                <c:pt idx="9">
                  <c:v>Ratnapura</c:v>
                </c:pt>
              </c:strCache>
            </c:strRef>
          </c:cat>
          <c:val>
            <c:numRef>
              <c:f>Pivotdata!$B$2:$B$12</c:f>
              <c:numCache>
                <c:formatCode>"Rs. "#,##0.00</c:formatCode>
                <c:ptCount val="10"/>
                <c:pt idx="0">
                  <c:v>218806.32</c:v>
                </c:pt>
                <c:pt idx="1">
                  <c:v>213451.87000000005</c:v>
                </c:pt>
                <c:pt idx="2">
                  <c:v>148648.10000000003</c:v>
                </c:pt>
                <c:pt idx="3">
                  <c:v>141108.82</c:v>
                </c:pt>
                <c:pt idx="4">
                  <c:v>219189.04</c:v>
                </c:pt>
                <c:pt idx="5">
                  <c:v>158907.48000000004</c:v>
                </c:pt>
                <c:pt idx="6">
                  <c:v>158758.03</c:v>
                </c:pt>
                <c:pt idx="7">
                  <c:v>228459.31000000006</c:v>
                </c:pt>
                <c:pt idx="8">
                  <c:v>171657.7</c:v>
                </c:pt>
                <c:pt idx="9">
                  <c:v>233060.44000000006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3-48AB-A373-256B8D1B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989871"/>
        <c:axId val="1046799951"/>
      </c:barChart>
      <c:catAx>
        <c:axId val="48398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99951"/>
        <c:crosses val="autoZero"/>
        <c:auto val="1"/>
        <c:lblAlgn val="ctr"/>
        <c:lblOffset val="100"/>
        <c:noMultiLvlLbl val="0"/>
      </c:catAx>
      <c:valAx>
        <c:axId val="10467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s.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8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[Retail_Sales_Data.xlsx]Pivotdata!PivotTable7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 and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Pivotdata!$I$1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Pivotdata!$H$2:$H$14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Pivotdata!$I$2:$I$14</c:f>
              <c:numCache>
                <c:formatCode>"Rs. "#,##0.00</c:formatCode>
                <c:ptCount val="12"/>
                <c:pt idx="0">
                  <c:v>234177.06</c:v>
                </c:pt>
                <c:pt idx="1">
                  <c:v>165986.63999999998</c:v>
                </c:pt>
                <c:pt idx="2">
                  <c:v>146585.84000000005</c:v>
                </c:pt>
                <c:pt idx="3">
                  <c:v>193627.94999999998</c:v>
                </c:pt>
                <c:pt idx="4">
                  <c:v>155926.37</c:v>
                </c:pt>
                <c:pt idx="5">
                  <c:v>198107.38999999998</c:v>
                </c:pt>
                <c:pt idx="6">
                  <c:v>82745.909999999989</c:v>
                </c:pt>
                <c:pt idx="7">
                  <c:v>121789.07</c:v>
                </c:pt>
                <c:pt idx="8">
                  <c:v>154818.01</c:v>
                </c:pt>
                <c:pt idx="9">
                  <c:v>127340.53</c:v>
                </c:pt>
                <c:pt idx="10">
                  <c:v>125769.76999999999</c:v>
                </c:pt>
                <c:pt idx="11">
                  <c:v>185172.57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A-44A6-848F-236132782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5482207"/>
        <c:axId val="1046852271"/>
      </c:barChart>
      <c:catAx>
        <c:axId val="9554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52271"/>
        <c:crosses val="autoZero"/>
        <c:auto val="1"/>
        <c:lblAlgn val="ctr"/>
        <c:lblOffset val="100"/>
        <c:noMultiLvlLbl val="0"/>
      </c:catAx>
      <c:valAx>
        <c:axId val="10468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s.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286041</xdr:colOff>
      <xdr:row>0</xdr:row>
      <xdr:rowOff>666749</xdr:rowOff>
    </xdr:from>
    <xdr:to>
      <xdr:col>11</xdr:col>
      <xdr:colOff>593563</xdr:colOff>
      <xdr:row>18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6AFFDF-174E-9A82-67F7-6479336D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302871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B3CF5B-DFAB-85CE-20AE-9002301EA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122174</xdr:colOff>
      <xdr:row>0</xdr:row>
      <xdr:rowOff>616508</xdr:rowOff>
    </xdr:from>
    <xdr:to>
      <xdr:col>17</xdr:col>
      <xdr:colOff>45009</xdr:colOff>
      <xdr:row>18</xdr:row>
      <xdr:rowOff>70812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816AEF-6AA7-7054-C8D3-031D170C3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103516</xdr:colOff>
      <xdr:row>19</xdr:row>
      <xdr:rowOff>18440</xdr:rowOff>
    </xdr:from>
    <xdr:to>
      <xdr:col>17</xdr:col>
      <xdr:colOff>0</xdr:colOff>
      <xdr:row>33</xdr:row>
      <xdr:rowOff>164123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440DAA-A1D9-85CB-E839-397FBB9C3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345358</xdr:colOff>
      <xdr:row>36</xdr:row>
      <xdr:rowOff>64888</xdr:rowOff>
    </xdr:from>
    <xdr:to>
      <xdr:col>12</xdr:col>
      <xdr:colOff>40558</xdr:colOff>
      <xdr:row>51</xdr:row>
      <xdr:rowOff>32231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0616D8-97AC-0F50-13CB-CCD40018E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vesha" refreshedDate="46253.821540277779" createdVersion="8" refreshedVersion="8" minRefreshableVersion="3" recordCount="220" xr:uid="{B26EAA8B-8DF3-4CF4-AA8C-FB66BB7280D1}">
  <cacheSource type="worksheet">
    <worksheetSource ref="A1:G221" sheet="Sales Data"/>
  </cacheSource>
  <cacheFields count="9">
    <cacheField name="Product Name" numFmtId="0">
      <sharedItems count="25">
        <s v="Printer Paper Ream"/>
        <s v="Dish Wash Liquid"/>
        <s v="Notebook A5"/>
        <s v="Air Freshener"/>
        <s v="Bath Soap Pack"/>
        <s v="Potato Chips 150g"/>
        <s v="Toothpaste 100g"/>
        <s v="Laundry Detergent 1kg"/>
        <s v="Shampoo 350ml"/>
        <s v="Tea Leaves 400g"/>
        <s v="Ball Pen Pack"/>
        <s v="Toilet Tissue 6-Pack"/>
        <s v="Mineral Water 1L"/>
        <s v="Chocolate Bar"/>
        <s v="Milk Powder 400g"/>
        <s v="Energy Drink Can"/>
        <s v="Biscuits Family Pack"/>
        <s v="Hand Sanitizer 250ml"/>
        <s v="Soft Drink 1.5L"/>
        <s v="Sunflower Oil 1L"/>
        <s v="Instant Noodles Pack"/>
        <s v="Wheat Flour 1kg"/>
        <s v="Sugar 1kg"/>
        <s v="Fruit Juice 1L"/>
        <s v="Basmati Rice 5kg"/>
      </sharedItems>
    </cacheField>
    <cacheField name="Category" numFmtId="0">
      <sharedItems count="6">
        <s v="Stationery"/>
        <s v="Household"/>
        <s v="Personal Care"/>
        <s v="Snacks"/>
        <s v="Groceries"/>
        <s v="Beverages"/>
      </sharedItems>
    </cacheField>
    <cacheField name="Quantity Sold" numFmtId="0">
      <sharedItems containsSemiMixedTypes="0" containsString="0" containsNumber="1" containsInteger="1" minValue="1" maxValue="40"/>
    </cacheField>
    <cacheField name="Price" numFmtId="164">
      <sharedItems containsSemiMixedTypes="0" containsString="0" containsNumber="1" minValue="87.95" maxValue="1505.73"/>
    </cacheField>
    <cacheField name="Date" numFmtId="165">
      <sharedItems containsSemiMixedTypes="0" containsNonDate="0" containsDate="1" containsString="0" minDate="2025-01-01T00:00:00" maxDate="2025-12-30T00:00:00" count="164">
        <d v="2025-01-01T00:00:00"/>
        <d v="2025-01-04T00:00:00"/>
        <d v="2025-01-05T00:00:00"/>
        <d v="2025-01-08T00:00:00"/>
        <d v="2025-01-09T00:00:00"/>
        <d v="2025-01-10T00:00:00"/>
        <d v="2025-01-16T00:00:00"/>
        <d v="2025-01-17T00:00:00"/>
        <d v="2025-01-21T00:00:00"/>
        <d v="2025-01-23T00:00:00"/>
        <d v="2025-01-24T00:00:00"/>
        <d v="2025-01-27T00:00:00"/>
        <d v="2025-01-30T00:00:00"/>
        <d v="2025-01-31T00:00:00"/>
        <d v="2025-02-05T00:00:00"/>
        <d v="2025-02-06T00:00:00"/>
        <d v="2025-02-07T00:00:00"/>
        <d v="2025-02-08T00:00:00"/>
        <d v="2025-02-09T00:00:00"/>
        <d v="2025-02-10T00:00:00"/>
        <d v="2025-02-14T00:00:00"/>
        <d v="2025-02-17T00:00:00"/>
        <d v="2025-02-21T00:00:00"/>
        <d v="2025-02-22T00:00:00"/>
        <d v="2025-02-25T00:00:00"/>
        <d v="2025-02-27T00:00:00"/>
        <d v="2025-03-03T00:00:00"/>
        <d v="2025-03-05T00:00:00"/>
        <d v="2025-03-07T00:00:00"/>
        <d v="2025-03-08T00:00:00"/>
        <d v="2025-03-10T00:00:00"/>
        <d v="2025-03-11T00:00:00"/>
        <d v="2025-03-13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4-02T00:00:00"/>
        <d v="2025-04-04T00:00:00"/>
        <d v="2025-04-07T00:00:00"/>
        <d v="2025-04-08T00:00:00"/>
        <d v="2025-04-10T00:00:00"/>
        <d v="2025-04-12T00:00:00"/>
        <d v="2025-04-15T00:00:00"/>
        <d v="2025-04-16T00:00:00"/>
        <d v="2025-04-17T00:00:00"/>
        <d v="2025-04-19T00:00:00"/>
        <d v="2025-04-22T00:00:00"/>
        <d v="2025-04-23T00:00:00"/>
        <d v="2025-04-25T00:00:00"/>
        <d v="2025-04-27T00:00:00"/>
        <d v="2025-04-28T00:00:00"/>
        <d v="2025-04-30T00:00:00"/>
        <d v="2025-05-03T00:00:00"/>
        <d v="2025-05-04T00:00:00"/>
        <d v="2025-05-06T00:00:00"/>
        <d v="2025-05-08T00:00:00"/>
        <d v="2025-05-09T00:00:00"/>
        <d v="2025-05-15T00:00:00"/>
        <d v="2025-05-16T00:00:00"/>
        <d v="2025-05-18T00:00:00"/>
        <d v="2025-05-22T00:00:00"/>
        <d v="2025-05-23T00:00:00"/>
        <d v="2025-05-26T00:00:00"/>
        <d v="2025-05-28T00:00:00"/>
        <d v="2025-05-30T00:00:00"/>
        <d v="2025-06-02T00:00:00"/>
        <d v="2025-06-04T00:00:00"/>
        <d v="2025-06-05T00:00:00"/>
        <d v="2025-06-06T00:00:00"/>
        <d v="2025-06-07T00:00:00"/>
        <d v="2025-06-09T00:00:00"/>
        <d v="2025-06-15T00:00:00"/>
        <d v="2025-06-17T00:00:00"/>
        <d v="2025-06-18T00:00:00"/>
        <d v="2025-06-19T00:00:00"/>
        <d v="2025-06-20T00:00:00"/>
        <d v="2025-06-22T00:00:00"/>
        <d v="2025-06-23T00:00:00"/>
        <d v="2025-06-24T00:00:00"/>
        <d v="2025-06-26T00:00:00"/>
        <d v="2025-06-28T00:00:00"/>
        <d v="2025-06-29T00:00:00"/>
        <d v="2025-07-05T00:00:00"/>
        <d v="2025-07-06T00:00:00"/>
        <d v="2025-07-15T00:00:00"/>
        <d v="2025-07-17T00:00:00"/>
        <d v="2025-07-24T00:00:00"/>
        <d v="2025-07-25T00:00:00"/>
        <d v="2025-07-26T00:00:00"/>
        <d v="2025-07-28T00:00:00"/>
        <d v="2025-07-29T00:00:00"/>
        <d v="2025-07-30T00:00:00"/>
        <d v="2025-08-05T00:00:00"/>
        <d v="2025-08-06T00:00:00"/>
        <d v="2025-08-09T00:00:00"/>
        <d v="2025-08-11T00:00:00"/>
        <d v="2025-08-12T00:00:00"/>
        <d v="2025-08-13T00:00:00"/>
        <d v="2025-08-16T00:00:00"/>
        <d v="2025-08-19T00:00:00"/>
        <d v="2025-08-22T00:00:00"/>
        <d v="2025-08-25T00:00:00"/>
        <d v="2025-08-26T00:00:00"/>
        <d v="2025-08-30T00:00:00"/>
        <d v="2025-09-01T00:00:00"/>
        <d v="2025-09-05T00:00:00"/>
        <d v="2025-09-08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30T00:00:00"/>
        <d v="2025-10-03T00:00:00"/>
        <d v="2025-10-04T00:00:00"/>
        <d v="2025-10-05T00:00:00"/>
        <d v="2025-10-09T00:00:00"/>
        <d v="2025-10-10T00:00:00"/>
        <d v="2025-10-12T00:00:00"/>
        <d v="2025-10-15T00:00:00"/>
        <d v="2025-10-16T00:00:00"/>
        <d v="2025-10-17T00:00:00"/>
        <d v="2025-10-18T00:00:00"/>
        <d v="2025-10-22T00:00:00"/>
        <d v="2025-10-23T00:00:00"/>
        <d v="2025-10-26T00:00:00"/>
        <d v="2025-10-31T00:00:00"/>
        <d v="2025-11-01T00:00:00"/>
        <d v="2025-11-02T00:00:00"/>
        <d v="2025-11-06T00:00:00"/>
        <d v="2025-11-07T00:00:00"/>
        <d v="2025-11-09T00:00:00"/>
        <d v="2025-11-12T00:00:00"/>
        <d v="2025-11-16T00:00:00"/>
        <d v="2025-11-17T00:00:00"/>
        <d v="2025-11-23T00:00:00"/>
        <d v="2025-11-26T00:00:00"/>
        <d v="2025-11-28T00:00:00"/>
        <d v="2025-11-30T00:00:00"/>
        <d v="2025-12-02T00:00:00"/>
        <d v="2025-12-05T00:00:00"/>
        <d v="2025-12-07T00:00:00"/>
        <d v="2025-12-09T00:00:00"/>
        <d v="2025-12-10T00:00:00"/>
        <d v="2025-12-11T00:00:00"/>
        <d v="2025-12-12T00:00:00"/>
        <d v="2025-12-16T00:00:00"/>
        <d v="2025-12-20T00:00:00"/>
        <d v="2025-12-22T00:00:00"/>
        <d v="2025-12-23T00:00:00"/>
        <d v="2025-12-25T00:00:00"/>
        <d v="2025-12-26T00:00:00"/>
        <d v="2025-12-28T00:00:00"/>
        <d v="2025-12-29T00:00:00"/>
      </sharedItems>
      <fieldGroup par="8"/>
    </cacheField>
    <cacheField name="Customer Location" numFmtId="0">
      <sharedItems count="10">
        <s v="Batticaloa"/>
        <s v="Ratnapura"/>
        <s v="Kurunegala"/>
        <s v="Matara"/>
        <s v="Kandy"/>
        <s v="Negombo"/>
        <s v="Colombo"/>
        <s v="Jaffna"/>
        <s v="Galle"/>
        <s v="Anuradhapura"/>
      </sharedItems>
    </cacheField>
    <cacheField name="Total Sales" numFmtId="164">
      <sharedItems containsSemiMixedTypes="0" containsString="0" containsNumber="1" minValue="190.53" maxValue="40503.599999999999"/>
    </cacheField>
    <cacheField name="Days (Date)" numFmtId="0" databaseField="0">
      <fieldGroup base="4">
        <rangePr groupBy="days" startDate="2025-01-01T00:00:00" endDate="2025-12-30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0/2025"/>
        </groupItems>
      </fieldGroup>
    </cacheField>
    <cacheField name="Months (Date)" numFmtId="0" databaseField="0">
      <fieldGroup base="4">
        <rangePr groupBy="months" startDate="2025-01-01T00:00:00" endDate="2025-12-30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n v="34"/>
    <n v="922.45"/>
    <x v="0"/>
    <x v="0"/>
    <n v="31363.300000000003"/>
  </r>
  <r>
    <x v="0"/>
    <x v="0"/>
    <n v="33"/>
    <n v="952.42"/>
    <x v="0"/>
    <x v="1"/>
    <n v="31429.859999999997"/>
  </r>
  <r>
    <x v="0"/>
    <x v="0"/>
    <n v="31"/>
    <n v="973.6"/>
    <x v="1"/>
    <x v="2"/>
    <n v="30181.600000000002"/>
  </r>
  <r>
    <x v="1"/>
    <x v="1"/>
    <n v="5"/>
    <n v="376.62"/>
    <x v="2"/>
    <x v="3"/>
    <n v="1883.1"/>
  </r>
  <r>
    <x v="2"/>
    <x v="0"/>
    <n v="34"/>
    <n v="148.4"/>
    <x v="2"/>
    <x v="1"/>
    <n v="5045.6000000000004"/>
  </r>
  <r>
    <x v="3"/>
    <x v="1"/>
    <n v="35"/>
    <n v="433.23"/>
    <x v="3"/>
    <x v="4"/>
    <n v="15163.050000000001"/>
  </r>
  <r>
    <x v="4"/>
    <x v="2"/>
    <n v="29"/>
    <n v="291.91000000000003"/>
    <x v="4"/>
    <x v="4"/>
    <n v="8465.3900000000012"/>
  </r>
  <r>
    <x v="5"/>
    <x v="3"/>
    <n v="31"/>
    <n v="296.39"/>
    <x v="5"/>
    <x v="1"/>
    <n v="9188.09"/>
  </r>
  <r>
    <x v="0"/>
    <x v="0"/>
    <n v="3"/>
    <n v="1020.72"/>
    <x v="6"/>
    <x v="5"/>
    <n v="3062.16"/>
  </r>
  <r>
    <x v="0"/>
    <x v="0"/>
    <n v="15"/>
    <n v="998.34"/>
    <x v="7"/>
    <x v="2"/>
    <n v="14975.1"/>
  </r>
  <r>
    <x v="2"/>
    <x v="0"/>
    <n v="19"/>
    <n v="154.08000000000001"/>
    <x v="7"/>
    <x v="5"/>
    <n v="2927.5200000000004"/>
  </r>
  <r>
    <x v="6"/>
    <x v="2"/>
    <n v="39"/>
    <n v="314.24"/>
    <x v="8"/>
    <x v="0"/>
    <n v="12255.36"/>
  </r>
  <r>
    <x v="6"/>
    <x v="2"/>
    <n v="27"/>
    <n v="319.93"/>
    <x v="9"/>
    <x v="2"/>
    <n v="8638.11"/>
  </r>
  <r>
    <x v="2"/>
    <x v="0"/>
    <n v="18"/>
    <n v="152.91999999999999"/>
    <x v="10"/>
    <x v="6"/>
    <n v="2752.56"/>
  </r>
  <r>
    <x v="2"/>
    <x v="0"/>
    <n v="2"/>
    <n v="148.34"/>
    <x v="10"/>
    <x v="2"/>
    <n v="296.68"/>
  </r>
  <r>
    <x v="7"/>
    <x v="1"/>
    <n v="12"/>
    <n v="624.5"/>
    <x v="11"/>
    <x v="7"/>
    <n v="7494"/>
  </r>
  <r>
    <x v="8"/>
    <x v="2"/>
    <n v="29"/>
    <n v="723.35"/>
    <x v="11"/>
    <x v="5"/>
    <n v="20977.15"/>
  </r>
  <r>
    <x v="9"/>
    <x v="4"/>
    <n v="14"/>
    <n v="467.85"/>
    <x v="12"/>
    <x v="0"/>
    <n v="6549.9000000000005"/>
  </r>
  <r>
    <x v="10"/>
    <x v="0"/>
    <n v="21"/>
    <n v="204.1"/>
    <x v="12"/>
    <x v="6"/>
    <n v="4286.0999999999995"/>
  </r>
  <r>
    <x v="7"/>
    <x v="1"/>
    <n v="26"/>
    <n v="606.23"/>
    <x v="13"/>
    <x v="8"/>
    <n v="15761.98"/>
  </r>
  <r>
    <x v="5"/>
    <x v="3"/>
    <n v="5"/>
    <n v="296.08999999999997"/>
    <x v="13"/>
    <x v="8"/>
    <n v="1480.4499999999998"/>
  </r>
  <r>
    <x v="11"/>
    <x v="1"/>
    <n v="12"/>
    <n v="518.62"/>
    <x v="14"/>
    <x v="0"/>
    <n v="6223.4400000000005"/>
  </r>
  <r>
    <x v="12"/>
    <x v="5"/>
    <n v="24"/>
    <n v="91.73"/>
    <x v="14"/>
    <x v="1"/>
    <n v="2201.52"/>
  </r>
  <r>
    <x v="11"/>
    <x v="1"/>
    <n v="9"/>
    <n v="565.39"/>
    <x v="14"/>
    <x v="7"/>
    <n v="5088.51"/>
  </r>
  <r>
    <x v="13"/>
    <x v="3"/>
    <n v="30"/>
    <n v="197.96"/>
    <x v="15"/>
    <x v="5"/>
    <n v="5938.8"/>
  </r>
  <r>
    <x v="8"/>
    <x v="2"/>
    <n v="7"/>
    <n v="745.06"/>
    <x v="16"/>
    <x v="1"/>
    <n v="5215.42"/>
  </r>
  <r>
    <x v="14"/>
    <x v="4"/>
    <n v="16"/>
    <n v="877.73"/>
    <x v="17"/>
    <x v="3"/>
    <n v="14043.68"/>
  </r>
  <r>
    <x v="15"/>
    <x v="5"/>
    <n v="13"/>
    <n v="278.82"/>
    <x v="17"/>
    <x v="0"/>
    <n v="3624.66"/>
  </r>
  <r>
    <x v="4"/>
    <x v="2"/>
    <n v="29"/>
    <n v="274.70999999999998"/>
    <x v="18"/>
    <x v="7"/>
    <n v="7966.5899999999992"/>
  </r>
  <r>
    <x v="16"/>
    <x v="3"/>
    <n v="37"/>
    <n v="306.41000000000003"/>
    <x v="19"/>
    <x v="4"/>
    <n v="11337.17"/>
  </r>
  <r>
    <x v="9"/>
    <x v="4"/>
    <n v="35"/>
    <n v="501.96"/>
    <x v="20"/>
    <x v="0"/>
    <n v="17568.599999999999"/>
  </r>
  <r>
    <x v="11"/>
    <x v="1"/>
    <n v="4"/>
    <n v="547.29"/>
    <x v="21"/>
    <x v="9"/>
    <n v="2189.16"/>
  </r>
  <r>
    <x v="17"/>
    <x v="2"/>
    <n v="22"/>
    <n v="361.3"/>
    <x v="21"/>
    <x v="5"/>
    <n v="7948.6"/>
  </r>
  <r>
    <x v="0"/>
    <x v="0"/>
    <n v="19"/>
    <n v="967.29"/>
    <x v="22"/>
    <x v="5"/>
    <n v="18378.509999999998"/>
  </r>
  <r>
    <x v="18"/>
    <x v="5"/>
    <n v="29"/>
    <n v="361.44"/>
    <x v="22"/>
    <x v="1"/>
    <n v="10481.76"/>
  </r>
  <r>
    <x v="9"/>
    <x v="4"/>
    <n v="22"/>
    <n v="469.44"/>
    <x v="23"/>
    <x v="4"/>
    <n v="10327.68"/>
  </r>
  <r>
    <x v="2"/>
    <x v="0"/>
    <n v="16"/>
    <n v="158.69999999999999"/>
    <x v="23"/>
    <x v="7"/>
    <n v="2539.1999999999998"/>
  </r>
  <r>
    <x v="19"/>
    <x v="4"/>
    <n v="22"/>
    <n v="651.52"/>
    <x v="24"/>
    <x v="5"/>
    <n v="14333.439999999999"/>
  </r>
  <r>
    <x v="0"/>
    <x v="0"/>
    <n v="22"/>
    <n v="935.45"/>
    <x v="25"/>
    <x v="7"/>
    <n v="20579.900000000001"/>
  </r>
  <r>
    <x v="5"/>
    <x v="3"/>
    <n v="15"/>
    <n v="277.16000000000003"/>
    <x v="26"/>
    <x v="5"/>
    <n v="4157.4000000000005"/>
  </r>
  <r>
    <x v="19"/>
    <x v="4"/>
    <n v="35"/>
    <n v="679.16"/>
    <x v="27"/>
    <x v="9"/>
    <n v="23770.6"/>
  </r>
  <r>
    <x v="10"/>
    <x v="0"/>
    <n v="30"/>
    <n v="194.29"/>
    <x v="28"/>
    <x v="0"/>
    <n v="5828.7"/>
  </r>
  <r>
    <x v="5"/>
    <x v="3"/>
    <n v="22"/>
    <n v="267.60000000000002"/>
    <x v="29"/>
    <x v="7"/>
    <n v="5887.2000000000007"/>
  </r>
  <r>
    <x v="13"/>
    <x v="3"/>
    <n v="7"/>
    <n v="203.51"/>
    <x v="30"/>
    <x v="7"/>
    <n v="1424.57"/>
  </r>
  <r>
    <x v="17"/>
    <x v="2"/>
    <n v="28"/>
    <n v="333.73"/>
    <x v="31"/>
    <x v="3"/>
    <n v="9344.44"/>
  </r>
  <r>
    <x v="20"/>
    <x v="4"/>
    <n v="29"/>
    <n v="146.21"/>
    <x v="32"/>
    <x v="9"/>
    <n v="4240.09"/>
  </r>
  <r>
    <x v="17"/>
    <x v="2"/>
    <n v="13"/>
    <n v="346.62"/>
    <x v="33"/>
    <x v="6"/>
    <n v="4506.0600000000004"/>
  </r>
  <r>
    <x v="6"/>
    <x v="2"/>
    <n v="32"/>
    <n v="345.55"/>
    <x v="34"/>
    <x v="3"/>
    <n v="11057.6"/>
  </r>
  <r>
    <x v="21"/>
    <x v="4"/>
    <n v="4"/>
    <n v="225.5"/>
    <x v="35"/>
    <x v="8"/>
    <n v="902"/>
  </r>
  <r>
    <x v="21"/>
    <x v="4"/>
    <n v="8"/>
    <n v="230.62"/>
    <x v="36"/>
    <x v="8"/>
    <n v="1844.96"/>
  </r>
  <r>
    <x v="4"/>
    <x v="2"/>
    <n v="13"/>
    <n v="284.48"/>
    <x v="36"/>
    <x v="2"/>
    <n v="3698.2400000000002"/>
  </r>
  <r>
    <x v="20"/>
    <x v="4"/>
    <n v="40"/>
    <n v="158.86000000000001"/>
    <x v="36"/>
    <x v="5"/>
    <n v="6354.4000000000005"/>
  </r>
  <r>
    <x v="22"/>
    <x v="4"/>
    <n v="36"/>
    <n v="277.07"/>
    <x v="37"/>
    <x v="7"/>
    <n v="9974.52"/>
  </r>
  <r>
    <x v="6"/>
    <x v="2"/>
    <n v="34"/>
    <n v="323.83"/>
    <x v="38"/>
    <x v="6"/>
    <n v="11010.22"/>
  </r>
  <r>
    <x v="15"/>
    <x v="5"/>
    <n v="24"/>
    <n v="256.39999999999998"/>
    <x v="39"/>
    <x v="2"/>
    <n v="6153.5999999999995"/>
  </r>
  <r>
    <x v="10"/>
    <x v="0"/>
    <n v="16"/>
    <n v="194.02"/>
    <x v="39"/>
    <x v="8"/>
    <n v="3104.32"/>
  </r>
  <r>
    <x v="8"/>
    <x v="2"/>
    <n v="8"/>
    <n v="741.95"/>
    <x v="39"/>
    <x v="7"/>
    <n v="5935.6"/>
  </r>
  <r>
    <x v="9"/>
    <x v="4"/>
    <n v="36"/>
    <n v="497.17"/>
    <x v="40"/>
    <x v="7"/>
    <n v="17898.12"/>
  </r>
  <r>
    <x v="1"/>
    <x v="1"/>
    <n v="24"/>
    <n v="395.55"/>
    <x v="41"/>
    <x v="0"/>
    <n v="9493.2000000000007"/>
  </r>
  <r>
    <x v="22"/>
    <x v="4"/>
    <n v="17"/>
    <n v="276.64"/>
    <x v="42"/>
    <x v="0"/>
    <n v="4702.88"/>
  </r>
  <r>
    <x v="18"/>
    <x v="5"/>
    <n v="21"/>
    <n v="324.27"/>
    <x v="43"/>
    <x v="3"/>
    <n v="6809.67"/>
  </r>
  <r>
    <x v="15"/>
    <x v="5"/>
    <n v="21"/>
    <n v="262.39"/>
    <x v="44"/>
    <x v="5"/>
    <n v="5510.19"/>
  </r>
  <r>
    <x v="16"/>
    <x v="3"/>
    <n v="27"/>
    <n v="336.64"/>
    <x v="45"/>
    <x v="4"/>
    <n v="9089.2799999999988"/>
  </r>
  <r>
    <x v="22"/>
    <x v="4"/>
    <n v="37"/>
    <n v="260.02"/>
    <x v="45"/>
    <x v="7"/>
    <n v="9620.74"/>
  </r>
  <r>
    <x v="1"/>
    <x v="1"/>
    <n v="25"/>
    <n v="388.23"/>
    <x v="45"/>
    <x v="0"/>
    <n v="9705.75"/>
  </r>
  <r>
    <x v="1"/>
    <x v="1"/>
    <n v="37"/>
    <n v="381.47"/>
    <x v="46"/>
    <x v="9"/>
    <n v="14114.390000000001"/>
  </r>
  <r>
    <x v="11"/>
    <x v="1"/>
    <n v="36"/>
    <n v="555.26"/>
    <x v="47"/>
    <x v="1"/>
    <n v="19989.36"/>
  </r>
  <r>
    <x v="13"/>
    <x v="3"/>
    <n v="22"/>
    <n v="195.44"/>
    <x v="48"/>
    <x v="7"/>
    <n v="4299.68"/>
  </r>
  <r>
    <x v="3"/>
    <x v="1"/>
    <n v="4"/>
    <n v="454.76"/>
    <x v="49"/>
    <x v="9"/>
    <n v="1819.04"/>
  </r>
  <r>
    <x v="8"/>
    <x v="2"/>
    <n v="7"/>
    <n v="660.9"/>
    <x v="50"/>
    <x v="5"/>
    <n v="4626.3"/>
  </r>
  <r>
    <x v="11"/>
    <x v="1"/>
    <n v="28"/>
    <n v="574.24"/>
    <x v="51"/>
    <x v="1"/>
    <n v="16078.720000000001"/>
  </r>
  <r>
    <x v="23"/>
    <x v="5"/>
    <n v="6"/>
    <n v="391.19"/>
    <x v="52"/>
    <x v="5"/>
    <n v="2347.14"/>
  </r>
  <r>
    <x v="1"/>
    <x v="1"/>
    <n v="36"/>
    <n v="379.75"/>
    <x v="53"/>
    <x v="2"/>
    <n v="13671"/>
  </r>
  <r>
    <x v="6"/>
    <x v="2"/>
    <n v="38"/>
    <n v="327.04000000000002"/>
    <x v="53"/>
    <x v="6"/>
    <n v="12427.52"/>
  </r>
  <r>
    <x v="8"/>
    <x v="2"/>
    <n v="32"/>
    <n v="736.03"/>
    <x v="53"/>
    <x v="7"/>
    <n v="23552.959999999999"/>
  </r>
  <r>
    <x v="19"/>
    <x v="4"/>
    <n v="23"/>
    <n v="701.99"/>
    <x v="54"/>
    <x v="4"/>
    <n v="16145.77"/>
  </r>
  <r>
    <x v="8"/>
    <x v="2"/>
    <n v="19"/>
    <n v="661.64"/>
    <x v="55"/>
    <x v="4"/>
    <n v="12571.16"/>
  </r>
  <r>
    <x v="21"/>
    <x v="4"/>
    <n v="4"/>
    <n v="229.24"/>
    <x v="56"/>
    <x v="4"/>
    <n v="916.96"/>
  </r>
  <r>
    <x v="0"/>
    <x v="0"/>
    <n v="6"/>
    <n v="938.24"/>
    <x v="57"/>
    <x v="4"/>
    <n v="5629.4400000000005"/>
  </r>
  <r>
    <x v="5"/>
    <x v="3"/>
    <n v="11"/>
    <n v="290.04000000000002"/>
    <x v="58"/>
    <x v="8"/>
    <n v="3190.44"/>
  </r>
  <r>
    <x v="22"/>
    <x v="4"/>
    <n v="39"/>
    <n v="247.98"/>
    <x v="58"/>
    <x v="8"/>
    <n v="9671.2199999999993"/>
  </r>
  <r>
    <x v="11"/>
    <x v="1"/>
    <n v="6"/>
    <n v="579.54999999999995"/>
    <x v="59"/>
    <x v="9"/>
    <n v="3477.2999999999997"/>
  </r>
  <r>
    <x v="4"/>
    <x v="2"/>
    <n v="18"/>
    <n v="270.05"/>
    <x v="60"/>
    <x v="5"/>
    <n v="4860.9000000000005"/>
  </r>
  <r>
    <x v="8"/>
    <x v="2"/>
    <n v="35"/>
    <n v="712.46"/>
    <x v="60"/>
    <x v="8"/>
    <n v="24936.100000000002"/>
  </r>
  <r>
    <x v="6"/>
    <x v="2"/>
    <n v="6"/>
    <n v="343.48"/>
    <x v="61"/>
    <x v="4"/>
    <n v="2060.88"/>
  </r>
  <r>
    <x v="8"/>
    <x v="2"/>
    <n v="34"/>
    <n v="744.85"/>
    <x v="62"/>
    <x v="1"/>
    <n v="25324.9"/>
  </r>
  <r>
    <x v="23"/>
    <x v="5"/>
    <n v="1"/>
    <n v="397.93"/>
    <x v="63"/>
    <x v="1"/>
    <n v="397.93"/>
  </r>
  <r>
    <x v="15"/>
    <x v="5"/>
    <n v="25"/>
    <n v="247.07"/>
    <x v="64"/>
    <x v="3"/>
    <n v="6176.75"/>
  </r>
  <r>
    <x v="23"/>
    <x v="5"/>
    <n v="38"/>
    <n v="433.51"/>
    <x v="65"/>
    <x v="2"/>
    <n v="16473.38"/>
  </r>
  <r>
    <x v="20"/>
    <x v="4"/>
    <n v="31"/>
    <n v="146.72"/>
    <x v="66"/>
    <x v="0"/>
    <n v="4548.32"/>
  </r>
  <r>
    <x v="23"/>
    <x v="5"/>
    <n v="38"/>
    <n v="401.25"/>
    <x v="67"/>
    <x v="6"/>
    <n v="15247.5"/>
  </r>
  <r>
    <x v="1"/>
    <x v="1"/>
    <n v="25"/>
    <n v="377.15"/>
    <x v="67"/>
    <x v="9"/>
    <n v="9428.75"/>
  </r>
  <r>
    <x v="16"/>
    <x v="3"/>
    <n v="6"/>
    <n v="338.56"/>
    <x v="67"/>
    <x v="3"/>
    <n v="2031.3600000000001"/>
  </r>
  <r>
    <x v="10"/>
    <x v="0"/>
    <n v="6"/>
    <n v="194.41"/>
    <x v="68"/>
    <x v="1"/>
    <n v="1166.46"/>
  </r>
  <r>
    <x v="22"/>
    <x v="4"/>
    <n v="37"/>
    <n v="276.5"/>
    <x v="68"/>
    <x v="3"/>
    <n v="10230.5"/>
  </r>
  <r>
    <x v="13"/>
    <x v="3"/>
    <n v="37"/>
    <n v="195.2"/>
    <x v="69"/>
    <x v="3"/>
    <n v="7222.4"/>
  </r>
  <r>
    <x v="4"/>
    <x v="2"/>
    <n v="32"/>
    <n v="296.29000000000002"/>
    <x v="70"/>
    <x v="1"/>
    <n v="9481.2800000000007"/>
  </r>
  <r>
    <x v="5"/>
    <x v="3"/>
    <n v="19"/>
    <n v="295.87"/>
    <x v="71"/>
    <x v="0"/>
    <n v="5621.53"/>
  </r>
  <r>
    <x v="13"/>
    <x v="3"/>
    <n v="12"/>
    <n v="186.12"/>
    <x v="72"/>
    <x v="6"/>
    <n v="2233.44"/>
  </r>
  <r>
    <x v="13"/>
    <x v="3"/>
    <n v="1"/>
    <n v="190.53"/>
    <x v="73"/>
    <x v="7"/>
    <n v="190.53"/>
  </r>
  <r>
    <x v="13"/>
    <x v="3"/>
    <n v="16"/>
    <n v="185.97"/>
    <x v="74"/>
    <x v="0"/>
    <n v="2975.52"/>
  </r>
  <r>
    <x v="13"/>
    <x v="3"/>
    <n v="28"/>
    <n v="201.75"/>
    <x v="74"/>
    <x v="0"/>
    <n v="5649"/>
  </r>
  <r>
    <x v="9"/>
    <x v="4"/>
    <n v="3"/>
    <n v="482.82"/>
    <x v="75"/>
    <x v="2"/>
    <n v="1448.46"/>
  </r>
  <r>
    <x v="0"/>
    <x v="0"/>
    <n v="13"/>
    <n v="992.65"/>
    <x v="76"/>
    <x v="9"/>
    <n v="12904.449999999999"/>
  </r>
  <r>
    <x v="8"/>
    <x v="2"/>
    <n v="28"/>
    <n v="659.08"/>
    <x v="77"/>
    <x v="0"/>
    <n v="18454.240000000002"/>
  </r>
  <r>
    <x v="1"/>
    <x v="1"/>
    <n v="17"/>
    <n v="365.35"/>
    <x v="77"/>
    <x v="4"/>
    <n v="6210.9500000000007"/>
  </r>
  <r>
    <x v="14"/>
    <x v="4"/>
    <n v="25"/>
    <n v="851.32"/>
    <x v="78"/>
    <x v="5"/>
    <n v="21283"/>
  </r>
  <r>
    <x v="17"/>
    <x v="2"/>
    <n v="11"/>
    <n v="337.26"/>
    <x v="79"/>
    <x v="9"/>
    <n v="3709.8599999999997"/>
  </r>
  <r>
    <x v="2"/>
    <x v="0"/>
    <n v="6"/>
    <n v="150.25"/>
    <x v="79"/>
    <x v="1"/>
    <n v="901.5"/>
  </r>
  <r>
    <x v="15"/>
    <x v="5"/>
    <n v="35"/>
    <n v="269.97000000000003"/>
    <x v="80"/>
    <x v="6"/>
    <n v="9448.9500000000007"/>
  </r>
  <r>
    <x v="21"/>
    <x v="4"/>
    <n v="27"/>
    <n v="222.44"/>
    <x v="81"/>
    <x v="2"/>
    <n v="6005.88"/>
  </r>
  <r>
    <x v="23"/>
    <x v="5"/>
    <n v="25"/>
    <n v="415.38"/>
    <x v="82"/>
    <x v="9"/>
    <n v="10384.5"/>
  </r>
  <r>
    <x v="22"/>
    <x v="4"/>
    <n v="5"/>
    <n v="255.38"/>
    <x v="83"/>
    <x v="6"/>
    <n v="1276.9000000000001"/>
  </r>
  <r>
    <x v="21"/>
    <x v="4"/>
    <n v="17"/>
    <n v="222.43"/>
    <x v="83"/>
    <x v="0"/>
    <n v="3781.31"/>
  </r>
  <r>
    <x v="0"/>
    <x v="0"/>
    <n v="28"/>
    <n v="1002.02"/>
    <x v="84"/>
    <x v="7"/>
    <n v="28056.559999999998"/>
  </r>
  <r>
    <x v="20"/>
    <x v="4"/>
    <n v="17"/>
    <n v="149.41999999999999"/>
    <x v="84"/>
    <x v="7"/>
    <n v="2540.14"/>
  </r>
  <r>
    <x v="0"/>
    <x v="0"/>
    <n v="27"/>
    <n v="1000.07"/>
    <x v="84"/>
    <x v="1"/>
    <n v="27001.890000000003"/>
  </r>
  <r>
    <x v="12"/>
    <x v="5"/>
    <n v="34"/>
    <n v="91.04"/>
    <x v="85"/>
    <x v="9"/>
    <n v="3095.36"/>
  </r>
  <r>
    <x v="20"/>
    <x v="4"/>
    <n v="9"/>
    <n v="152.36000000000001"/>
    <x v="86"/>
    <x v="4"/>
    <n v="1371.2400000000002"/>
  </r>
  <r>
    <x v="7"/>
    <x v="1"/>
    <n v="30"/>
    <n v="606.92999999999995"/>
    <x v="87"/>
    <x v="7"/>
    <n v="18207.899999999998"/>
  </r>
  <r>
    <x v="5"/>
    <x v="3"/>
    <n v="18"/>
    <n v="297.45999999999998"/>
    <x v="87"/>
    <x v="1"/>
    <n v="5354.28"/>
  </r>
  <r>
    <x v="21"/>
    <x v="4"/>
    <n v="40"/>
    <n v="224.79"/>
    <x v="88"/>
    <x v="0"/>
    <n v="8991.6"/>
  </r>
  <r>
    <x v="18"/>
    <x v="5"/>
    <n v="8"/>
    <n v="344.6"/>
    <x v="88"/>
    <x v="7"/>
    <n v="2756.8"/>
  </r>
  <r>
    <x v="17"/>
    <x v="2"/>
    <n v="13"/>
    <n v="365.23"/>
    <x v="89"/>
    <x v="9"/>
    <n v="4747.99"/>
  </r>
  <r>
    <x v="5"/>
    <x v="3"/>
    <n v="7"/>
    <n v="271.79000000000002"/>
    <x v="90"/>
    <x v="6"/>
    <n v="1902.5300000000002"/>
  </r>
  <r>
    <x v="17"/>
    <x v="2"/>
    <n v="5"/>
    <n v="351.71"/>
    <x v="91"/>
    <x v="9"/>
    <n v="1758.55"/>
  </r>
  <r>
    <x v="10"/>
    <x v="0"/>
    <n v="25"/>
    <n v="202.3"/>
    <x v="91"/>
    <x v="8"/>
    <n v="5057.5"/>
  </r>
  <r>
    <x v="16"/>
    <x v="3"/>
    <n v="13"/>
    <n v="313.27"/>
    <x v="92"/>
    <x v="2"/>
    <n v="4072.5099999999998"/>
  </r>
  <r>
    <x v="7"/>
    <x v="1"/>
    <n v="5"/>
    <n v="598.20000000000005"/>
    <x v="93"/>
    <x v="3"/>
    <n v="2991"/>
  </r>
  <r>
    <x v="21"/>
    <x v="4"/>
    <n v="16"/>
    <n v="228.31"/>
    <x v="94"/>
    <x v="4"/>
    <n v="3652.96"/>
  </r>
  <r>
    <x v="0"/>
    <x v="0"/>
    <n v="11"/>
    <n v="1007.31"/>
    <x v="95"/>
    <x v="3"/>
    <n v="11080.41"/>
  </r>
  <r>
    <x v="17"/>
    <x v="2"/>
    <n v="36"/>
    <n v="337.18"/>
    <x v="95"/>
    <x v="0"/>
    <n v="12138.48"/>
  </r>
  <r>
    <x v="2"/>
    <x v="0"/>
    <n v="27"/>
    <n v="146.66999999999999"/>
    <x v="95"/>
    <x v="2"/>
    <n v="3960.0899999999997"/>
  </r>
  <r>
    <x v="13"/>
    <x v="3"/>
    <n v="36"/>
    <n v="194.11"/>
    <x v="95"/>
    <x v="4"/>
    <n v="6987.9600000000009"/>
  </r>
  <r>
    <x v="3"/>
    <x v="1"/>
    <n v="1"/>
    <n v="431.89"/>
    <x v="96"/>
    <x v="3"/>
    <n v="431.89"/>
  </r>
  <r>
    <x v="1"/>
    <x v="1"/>
    <n v="10"/>
    <n v="361.76"/>
    <x v="96"/>
    <x v="8"/>
    <n v="3617.6"/>
  </r>
  <r>
    <x v="23"/>
    <x v="5"/>
    <n v="22"/>
    <n v="390.82"/>
    <x v="97"/>
    <x v="5"/>
    <n v="8598.0399999999991"/>
  </r>
  <r>
    <x v="22"/>
    <x v="4"/>
    <n v="23"/>
    <n v="269.27"/>
    <x v="98"/>
    <x v="9"/>
    <n v="6193.2099999999991"/>
  </r>
  <r>
    <x v="0"/>
    <x v="0"/>
    <n v="7"/>
    <n v="1008.76"/>
    <x v="99"/>
    <x v="5"/>
    <n v="7061.32"/>
  </r>
  <r>
    <x v="19"/>
    <x v="4"/>
    <n v="24"/>
    <n v="642.29"/>
    <x v="100"/>
    <x v="8"/>
    <n v="15414.96"/>
  </r>
  <r>
    <x v="5"/>
    <x v="3"/>
    <n v="39"/>
    <n v="267.39"/>
    <x v="101"/>
    <x v="2"/>
    <n v="10428.209999999999"/>
  </r>
  <r>
    <x v="5"/>
    <x v="3"/>
    <n v="38"/>
    <n v="272.61"/>
    <x v="102"/>
    <x v="3"/>
    <n v="10359.18"/>
  </r>
  <r>
    <x v="16"/>
    <x v="3"/>
    <n v="11"/>
    <n v="319.37"/>
    <x v="103"/>
    <x v="1"/>
    <n v="3513.07"/>
  </r>
  <r>
    <x v="5"/>
    <x v="3"/>
    <n v="32"/>
    <n v="284.22000000000003"/>
    <x v="103"/>
    <x v="4"/>
    <n v="9095.0400000000009"/>
  </r>
  <r>
    <x v="5"/>
    <x v="3"/>
    <n v="19"/>
    <n v="285.99"/>
    <x v="103"/>
    <x v="3"/>
    <n v="5433.81"/>
  </r>
  <r>
    <x v="23"/>
    <x v="5"/>
    <n v="7"/>
    <n v="441.65"/>
    <x v="104"/>
    <x v="8"/>
    <n v="3091.5499999999997"/>
  </r>
  <r>
    <x v="16"/>
    <x v="3"/>
    <n v="25"/>
    <n v="336.27"/>
    <x v="105"/>
    <x v="3"/>
    <n v="8406.75"/>
  </r>
  <r>
    <x v="3"/>
    <x v="1"/>
    <n v="8"/>
    <n v="442.08"/>
    <x v="106"/>
    <x v="8"/>
    <n v="3536.64"/>
  </r>
  <r>
    <x v="16"/>
    <x v="3"/>
    <n v="8"/>
    <n v="345.28"/>
    <x v="107"/>
    <x v="4"/>
    <n v="2762.24"/>
  </r>
  <r>
    <x v="14"/>
    <x v="4"/>
    <n v="34"/>
    <n v="938.54"/>
    <x v="108"/>
    <x v="6"/>
    <n v="31910.36"/>
  </r>
  <r>
    <x v="2"/>
    <x v="0"/>
    <n v="31"/>
    <n v="147.83000000000001"/>
    <x v="109"/>
    <x v="5"/>
    <n v="4582.7300000000005"/>
  </r>
  <r>
    <x v="3"/>
    <x v="1"/>
    <n v="11"/>
    <n v="453.59"/>
    <x v="110"/>
    <x v="3"/>
    <n v="4989.49"/>
  </r>
  <r>
    <x v="8"/>
    <x v="2"/>
    <n v="35"/>
    <n v="728"/>
    <x v="111"/>
    <x v="3"/>
    <n v="25480"/>
  </r>
  <r>
    <x v="4"/>
    <x v="2"/>
    <n v="27"/>
    <n v="278.42"/>
    <x v="112"/>
    <x v="4"/>
    <n v="7517.34"/>
  </r>
  <r>
    <x v="7"/>
    <x v="1"/>
    <n v="9"/>
    <n v="666.76"/>
    <x v="113"/>
    <x v="0"/>
    <n v="6000.84"/>
  </r>
  <r>
    <x v="0"/>
    <x v="0"/>
    <n v="40"/>
    <n v="1012.59"/>
    <x v="114"/>
    <x v="9"/>
    <n v="40503.599999999999"/>
  </r>
  <r>
    <x v="17"/>
    <x v="2"/>
    <n v="20"/>
    <n v="371.08"/>
    <x v="115"/>
    <x v="7"/>
    <n v="7421.5999999999995"/>
  </r>
  <r>
    <x v="12"/>
    <x v="5"/>
    <n v="9"/>
    <n v="88.07"/>
    <x v="116"/>
    <x v="3"/>
    <n v="792.62999999999988"/>
  </r>
  <r>
    <x v="1"/>
    <x v="1"/>
    <n v="14"/>
    <n v="382.82"/>
    <x v="117"/>
    <x v="3"/>
    <n v="5359.48"/>
  </r>
  <r>
    <x v="19"/>
    <x v="4"/>
    <n v="5"/>
    <n v="690.14"/>
    <x v="118"/>
    <x v="5"/>
    <n v="3450.7"/>
  </r>
  <r>
    <x v="17"/>
    <x v="2"/>
    <n v="29"/>
    <n v="362.07"/>
    <x v="119"/>
    <x v="3"/>
    <n v="10500.03"/>
  </r>
  <r>
    <x v="0"/>
    <x v="0"/>
    <n v="31"/>
    <n v="995.9"/>
    <x v="120"/>
    <x v="3"/>
    <n v="30872.899999999998"/>
  </r>
  <r>
    <x v="1"/>
    <x v="1"/>
    <n v="13"/>
    <n v="381.41"/>
    <x v="120"/>
    <x v="2"/>
    <n v="4958.33"/>
  </r>
  <r>
    <x v="19"/>
    <x v="4"/>
    <n v="1"/>
    <n v="677.39"/>
    <x v="121"/>
    <x v="1"/>
    <n v="677.39"/>
  </r>
  <r>
    <x v="5"/>
    <x v="3"/>
    <n v="18"/>
    <n v="293.36"/>
    <x v="121"/>
    <x v="3"/>
    <n v="5280.4800000000005"/>
  </r>
  <r>
    <x v="10"/>
    <x v="0"/>
    <n v="5"/>
    <n v="202.64"/>
    <x v="122"/>
    <x v="8"/>
    <n v="1013.1999999999999"/>
  </r>
  <r>
    <x v="13"/>
    <x v="3"/>
    <n v="27"/>
    <n v="199.11"/>
    <x v="123"/>
    <x v="1"/>
    <n v="5375.97"/>
  </r>
  <r>
    <x v="5"/>
    <x v="3"/>
    <n v="14"/>
    <n v="290.35000000000002"/>
    <x v="124"/>
    <x v="8"/>
    <n v="4064.9000000000005"/>
  </r>
  <r>
    <x v="16"/>
    <x v="3"/>
    <n v="21"/>
    <n v="315.3"/>
    <x v="124"/>
    <x v="4"/>
    <n v="6621.3"/>
  </r>
  <r>
    <x v="15"/>
    <x v="5"/>
    <n v="32"/>
    <n v="279.25"/>
    <x v="125"/>
    <x v="6"/>
    <n v="8936"/>
  </r>
  <r>
    <x v="2"/>
    <x v="0"/>
    <n v="26"/>
    <n v="152.16"/>
    <x v="126"/>
    <x v="6"/>
    <n v="3956.16"/>
  </r>
  <r>
    <x v="3"/>
    <x v="1"/>
    <n v="22"/>
    <n v="455.83"/>
    <x v="127"/>
    <x v="1"/>
    <n v="10028.26"/>
  </r>
  <r>
    <x v="8"/>
    <x v="2"/>
    <n v="18"/>
    <n v="718.4"/>
    <x v="128"/>
    <x v="6"/>
    <n v="12931.199999999999"/>
  </r>
  <r>
    <x v="9"/>
    <x v="4"/>
    <n v="16"/>
    <n v="472.53"/>
    <x v="129"/>
    <x v="1"/>
    <n v="7560.48"/>
  </r>
  <r>
    <x v="9"/>
    <x v="4"/>
    <n v="8"/>
    <n v="485.55"/>
    <x v="130"/>
    <x v="5"/>
    <n v="3884.4"/>
  </r>
  <r>
    <x v="21"/>
    <x v="4"/>
    <n v="38"/>
    <n v="220.99"/>
    <x v="131"/>
    <x v="1"/>
    <n v="8397.6200000000008"/>
  </r>
  <r>
    <x v="17"/>
    <x v="2"/>
    <n v="8"/>
    <n v="359.82"/>
    <x v="131"/>
    <x v="6"/>
    <n v="2878.56"/>
  </r>
  <r>
    <x v="15"/>
    <x v="5"/>
    <n v="14"/>
    <n v="256.05"/>
    <x v="132"/>
    <x v="2"/>
    <n v="3584.7000000000003"/>
  </r>
  <r>
    <x v="22"/>
    <x v="4"/>
    <n v="20"/>
    <n v="266.56"/>
    <x v="133"/>
    <x v="9"/>
    <n v="5331.2"/>
  </r>
  <r>
    <x v="10"/>
    <x v="0"/>
    <n v="37"/>
    <n v="214.32"/>
    <x v="134"/>
    <x v="3"/>
    <n v="7929.84"/>
  </r>
  <r>
    <x v="6"/>
    <x v="2"/>
    <n v="18"/>
    <n v="343.55"/>
    <x v="134"/>
    <x v="6"/>
    <n v="6183.9000000000005"/>
  </r>
  <r>
    <x v="5"/>
    <x v="3"/>
    <n v="28"/>
    <n v="293.19"/>
    <x v="135"/>
    <x v="9"/>
    <n v="8209.32"/>
  </r>
  <r>
    <x v="3"/>
    <x v="1"/>
    <n v="24"/>
    <n v="429.61"/>
    <x v="135"/>
    <x v="1"/>
    <n v="10310.64"/>
  </r>
  <r>
    <x v="3"/>
    <x v="1"/>
    <n v="26"/>
    <n v="429.08"/>
    <x v="136"/>
    <x v="0"/>
    <n v="11156.08"/>
  </r>
  <r>
    <x v="1"/>
    <x v="1"/>
    <n v="36"/>
    <n v="393.98"/>
    <x v="137"/>
    <x v="2"/>
    <n v="14183.28"/>
  </r>
  <r>
    <x v="3"/>
    <x v="1"/>
    <n v="39"/>
    <n v="472.22"/>
    <x v="138"/>
    <x v="0"/>
    <n v="18416.580000000002"/>
  </r>
  <r>
    <x v="15"/>
    <x v="5"/>
    <n v="23"/>
    <n v="250.27"/>
    <x v="139"/>
    <x v="7"/>
    <n v="5756.21"/>
  </r>
  <r>
    <x v="10"/>
    <x v="0"/>
    <n v="28"/>
    <n v="210.45"/>
    <x v="140"/>
    <x v="1"/>
    <n v="5892.5999999999995"/>
  </r>
  <r>
    <x v="20"/>
    <x v="4"/>
    <n v="38"/>
    <n v="150.88"/>
    <x v="140"/>
    <x v="2"/>
    <n v="5733.44"/>
  </r>
  <r>
    <x v="19"/>
    <x v="4"/>
    <n v="31"/>
    <n v="638.19000000000005"/>
    <x v="141"/>
    <x v="4"/>
    <n v="19783.890000000003"/>
  </r>
  <r>
    <x v="16"/>
    <x v="3"/>
    <n v="37"/>
    <n v="335.22"/>
    <x v="141"/>
    <x v="9"/>
    <n v="12403.140000000001"/>
  </r>
  <r>
    <x v="17"/>
    <x v="2"/>
    <n v="12"/>
    <n v="366.54"/>
    <x v="142"/>
    <x v="0"/>
    <n v="4398.4800000000005"/>
  </r>
  <r>
    <x v="21"/>
    <x v="4"/>
    <n v="22"/>
    <n v="236.14"/>
    <x v="143"/>
    <x v="2"/>
    <n v="5195.08"/>
  </r>
  <r>
    <x v="0"/>
    <x v="0"/>
    <n v="7"/>
    <n v="924.56"/>
    <x v="144"/>
    <x v="7"/>
    <n v="6471.92"/>
  </r>
  <r>
    <x v="3"/>
    <x v="1"/>
    <n v="9"/>
    <n v="444.59"/>
    <x v="145"/>
    <x v="3"/>
    <n v="4001.31"/>
  </r>
  <r>
    <x v="20"/>
    <x v="4"/>
    <n v="26"/>
    <n v="155.28"/>
    <x v="146"/>
    <x v="3"/>
    <n v="4037.28"/>
  </r>
  <r>
    <x v="23"/>
    <x v="5"/>
    <n v="15"/>
    <n v="395.62"/>
    <x v="147"/>
    <x v="8"/>
    <n v="5934.3"/>
  </r>
  <r>
    <x v="23"/>
    <x v="5"/>
    <n v="34"/>
    <n v="398.89"/>
    <x v="148"/>
    <x v="7"/>
    <n v="13562.26"/>
  </r>
  <r>
    <x v="7"/>
    <x v="1"/>
    <n v="10"/>
    <n v="621.21"/>
    <x v="149"/>
    <x v="6"/>
    <n v="6212.1"/>
  </r>
  <r>
    <x v="20"/>
    <x v="4"/>
    <n v="3"/>
    <n v="156.24"/>
    <x v="150"/>
    <x v="5"/>
    <n v="468.72"/>
  </r>
  <r>
    <x v="13"/>
    <x v="3"/>
    <n v="36"/>
    <n v="190.95"/>
    <x v="150"/>
    <x v="3"/>
    <n v="6874.2"/>
  </r>
  <r>
    <x v="5"/>
    <x v="3"/>
    <n v="38"/>
    <n v="294.68"/>
    <x v="150"/>
    <x v="5"/>
    <n v="11197.84"/>
  </r>
  <r>
    <x v="3"/>
    <x v="1"/>
    <n v="27"/>
    <n v="434.95"/>
    <x v="151"/>
    <x v="9"/>
    <n v="11743.65"/>
  </r>
  <r>
    <x v="18"/>
    <x v="5"/>
    <n v="14"/>
    <n v="364.31"/>
    <x v="152"/>
    <x v="2"/>
    <n v="5100.34"/>
  </r>
  <r>
    <x v="16"/>
    <x v="3"/>
    <n v="9"/>
    <n v="315.05"/>
    <x v="153"/>
    <x v="7"/>
    <n v="2835.4500000000003"/>
  </r>
  <r>
    <x v="1"/>
    <x v="1"/>
    <n v="4"/>
    <n v="403.67"/>
    <x v="154"/>
    <x v="4"/>
    <n v="1614.68"/>
  </r>
  <r>
    <x v="5"/>
    <x v="3"/>
    <n v="15"/>
    <n v="266.94"/>
    <x v="155"/>
    <x v="0"/>
    <n v="4004.1"/>
  </r>
  <r>
    <x v="24"/>
    <x v="4"/>
    <n v="8"/>
    <n v="1505.73"/>
    <x v="156"/>
    <x v="1"/>
    <n v="12045.84"/>
  </r>
  <r>
    <x v="19"/>
    <x v="4"/>
    <n v="14"/>
    <n v="693.46"/>
    <x v="156"/>
    <x v="5"/>
    <n v="9708.44"/>
  </r>
  <r>
    <x v="3"/>
    <x v="1"/>
    <n v="5"/>
    <n v="428.07"/>
    <x v="157"/>
    <x v="8"/>
    <n v="2140.35"/>
  </r>
  <r>
    <x v="7"/>
    <x v="1"/>
    <n v="16"/>
    <n v="633.75"/>
    <x v="157"/>
    <x v="3"/>
    <n v="10140"/>
  </r>
  <r>
    <x v="18"/>
    <x v="5"/>
    <n v="35"/>
    <n v="328.28"/>
    <x v="157"/>
    <x v="8"/>
    <n v="11489.8"/>
  </r>
  <r>
    <x v="9"/>
    <x v="4"/>
    <n v="25"/>
    <n v="465.41"/>
    <x v="158"/>
    <x v="8"/>
    <n v="11635.25"/>
  </r>
  <r>
    <x v="17"/>
    <x v="2"/>
    <n v="26"/>
    <n v="351.08"/>
    <x v="159"/>
    <x v="7"/>
    <n v="9128.08"/>
  </r>
  <r>
    <x v="15"/>
    <x v="5"/>
    <n v="38"/>
    <n v="277.58"/>
    <x v="159"/>
    <x v="6"/>
    <n v="10548.039999999999"/>
  </r>
  <r>
    <x v="22"/>
    <x v="4"/>
    <n v="20"/>
    <n v="262.83999999999997"/>
    <x v="160"/>
    <x v="9"/>
    <n v="5256.7999999999993"/>
  </r>
  <r>
    <x v="12"/>
    <x v="5"/>
    <n v="18"/>
    <n v="87.95"/>
    <x v="161"/>
    <x v="4"/>
    <n v="1583.1000000000001"/>
  </r>
  <r>
    <x v="10"/>
    <x v="0"/>
    <n v="23"/>
    <n v="204.31"/>
    <x v="161"/>
    <x v="3"/>
    <n v="4699.13"/>
  </r>
  <r>
    <x v="14"/>
    <x v="4"/>
    <n v="36"/>
    <n v="931.26"/>
    <x v="162"/>
    <x v="9"/>
    <n v="33525.360000000001"/>
  </r>
  <r>
    <x v="23"/>
    <x v="5"/>
    <n v="30"/>
    <n v="440.71"/>
    <x v="163"/>
    <x v="8"/>
    <n v="13221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3DA7F-2AE0-46BA-BB7C-62597E036EF0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I14" firstHeaderRow="1" firstDataRow="1" firstDataCol="1"/>
  <pivotFields count="9">
    <pivotField showAll="0"/>
    <pivotField axis="axisRow" showAll="0">
      <items count="7">
        <item x="5"/>
        <item x="4"/>
        <item x="1"/>
        <item x="2"/>
        <item x="3"/>
        <item x="0"/>
        <item t="default"/>
      </items>
    </pivotField>
    <pivotField showAll="0"/>
    <pivotField numFmtId="164" showAll="0"/>
    <pivotField axis="axisRow" numFmtId="165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dataField="1" numFmtId="164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8"/>
    <field x="7"/>
    <field x="1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56688-E613-4434-AEBA-E6E233139D4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 ">
  <location ref="E13:F39" firstHeaderRow="1" firstDataRow="1" firstDataCol="1"/>
  <pivotFields count="9">
    <pivotField axis="axisRow" showAll="0" sortType="descending">
      <items count="26">
        <item x="21"/>
        <item x="6"/>
        <item x="11"/>
        <item x="9"/>
        <item x="19"/>
        <item x="22"/>
        <item x="18"/>
        <item x="8"/>
        <item x="0"/>
        <item x="5"/>
        <item x="2"/>
        <item x="12"/>
        <item x="14"/>
        <item x="7"/>
        <item x="20"/>
        <item x="17"/>
        <item x="23"/>
        <item x="15"/>
        <item x="1"/>
        <item x="13"/>
        <item x="16"/>
        <item x="4"/>
        <item x="24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/>
    <pivotField numFmtId="165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26">
    <i>
      <x v="9"/>
    </i>
    <i>
      <x v="8"/>
    </i>
    <i>
      <x v="7"/>
    </i>
    <i>
      <x v="19"/>
    </i>
    <i>
      <x v="18"/>
    </i>
    <i>
      <x v="5"/>
    </i>
    <i>
      <x v="17"/>
    </i>
    <i>
      <x v="15"/>
    </i>
    <i>
      <x v="16"/>
    </i>
    <i>
      <x v="24"/>
    </i>
    <i>
      <x v="1"/>
    </i>
    <i>
      <x v="20"/>
    </i>
    <i>
      <x v="14"/>
    </i>
    <i>
      <x v="23"/>
    </i>
    <i>
      <x v="10"/>
    </i>
    <i>
      <x/>
    </i>
    <i>
      <x v="3"/>
    </i>
    <i>
      <x v="4"/>
    </i>
    <i>
      <x v="21"/>
    </i>
    <i>
      <x v="12"/>
    </i>
    <i>
      <x v="13"/>
    </i>
    <i>
      <x v="6"/>
    </i>
    <i>
      <x v="2"/>
    </i>
    <i>
      <x v="11"/>
    </i>
    <i>
      <x v="22"/>
    </i>
    <i t="grand">
      <x/>
    </i>
  </rowItems>
  <colItems count="1">
    <i/>
  </colItems>
  <dataFields count="1">
    <dataField name="Sum of Quantity Sol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35D92-C926-4C65-B165-5B3CCFA5E3F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C27" firstHeaderRow="0" firstDataRow="1" firstDataCol="1"/>
  <pivotFields count="9">
    <pivotField showAll="0"/>
    <pivotField showAll="0">
      <items count="7">
        <item x="5"/>
        <item x="4"/>
        <item x="1"/>
        <item x="2"/>
        <item x="3"/>
        <item x="0"/>
        <item t="default"/>
      </items>
    </pivotField>
    <pivotField dataField="1" showAll="0"/>
    <pivotField numFmtId="164" showAll="0"/>
    <pivotField axis="axisRow" numFmtId="165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 numFmtId="164"/>
    <dataField name="Sum of Quantity Sold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08792-ADE3-4551-9A3D-105CE966628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F8" firstHeaderRow="0" firstDataRow="1" firstDataCol="1"/>
  <pivotFields count="9">
    <pivotField showAll="0"/>
    <pivotField axis="axisRow" showAll="0">
      <items count="7">
        <item x="5"/>
        <item x="4"/>
        <item x="1"/>
        <item x="2"/>
        <item x="3"/>
        <item x="0"/>
        <item t="default"/>
      </items>
    </pivotField>
    <pivotField dataField="1" showAll="0"/>
    <pivotField numFmtId="164" showAll="0"/>
    <pivotField numFmtId="165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 numFmtId="164"/>
    <dataField name="Sum of Quantity Sol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7CCCF-A090-4951-BB49-EE657BFCB6D9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9">
    <pivotField showAll="0"/>
    <pivotField showAll="0"/>
    <pivotField showAll="0"/>
    <pivotField numFmtId="164" showAll="0"/>
    <pivotField numFmtId="165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Row" showAll="0">
      <items count="11">
        <item x="9"/>
        <item n="a`" x="0"/>
        <item x="6"/>
        <item x="8"/>
        <item x="7"/>
        <item x="4"/>
        <item x="2"/>
        <item x="3"/>
        <item x="5"/>
        <item x="1"/>
        <item t="default"/>
      </items>
    </pivotField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6CC4-8120-49D4-B004-F5612A951CEA}">
  <dimension ref="A1:X9"/>
  <sheetViews>
    <sheetView tabSelected="1" zoomScale="37" workbookViewId="0">
      <selection activeCell="V50" sqref="V50"/>
    </sheetView>
  </sheetViews>
  <sheetFormatPr defaultRowHeight="14.4" x14ac:dyDescent="0.3"/>
  <cols>
    <col min="1" max="1" width="13.88671875" bestFit="1" customWidth="1"/>
    <col min="2" max="2" width="16.88671875" bestFit="1" customWidth="1"/>
    <col min="3" max="3" width="16.5546875" bestFit="1" customWidth="1"/>
    <col min="14" max="14" width="13.44140625" bestFit="1" customWidth="1"/>
    <col min="15" max="15" width="17" bestFit="1" customWidth="1"/>
    <col min="16" max="16" width="19.5546875" bestFit="1" customWidth="1"/>
    <col min="21" max="21" width="14.88671875" bestFit="1" customWidth="1"/>
    <col min="22" max="22" width="20.109375" bestFit="1" customWidth="1"/>
  </cols>
  <sheetData>
    <row r="1" spans="1:24" ht="40.200000000000003" customHeight="1" x14ac:dyDescent="0.65">
      <c r="A1" s="11" t="s">
        <v>67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3" spans="1:24" x14ac:dyDescent="0.3">
      <c r="W3" s="8"/>
      <c r="X3" s="9"/>
    </row>
    <row r="4" spans="1:24" x14ac:dyDescent="0.3">
      <c r="W4" s="8"/>
      <c r="X4" s="9"/>
    </row>
    <row r="5" spans="1:24" x14ac:dyDescent="0.3">
      <c r="W5" s="8"/>
      <c r="X5" s="9"/>
    </row>
    <row r="6" spans="1:24" x14ac:dyDescent="0.3">
      <c r="W6" s="8"/>
      <c r="X6" s="9"/>
    </row>
    <row r="7" spans="1:24" x14ac:dyDescent="0.3">
      <c r="W7" s="8"/>
      <c r="X7" s="9"/>
    </row>
    <row r="8" spans="1:24" x14ac:dyDescent="0.3">
      <c r="W8" s="8"/>
      <c r="X8" s="9"/>
    </row>
    <row r="9" spans="1:24" x14ac:dyDescent="0.3">
      <c r="W9" s="8"/>
      <c r="X9" s="9"/>
    </row>
  </sheetData>
  <mergeCells count="1">
    <mergeCell ref="A1:V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A4F8-1531-47F2-8DEC-C5718A41208B}">
  <dimension ref="A1:I39"/>
  <sheetViews>
    <sheetView workbookViewId="0">
      <selection activeCell="H1" sqref="H1:I14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9.109375" bestFit="1" customWidth="1"/>
    <col min="4" max="4" width="12.5546875" bestFit="1" customWidth="1"/>
    <col min="5" max="5" width="16.44140625" bestFit="1" customWidth="1"/>
    <col min="6" max="6" width="19.109375" bestFit="1" customWidth="1"/>
    <col min="8" max="8" width="12.5546875" bestFit="1" customWidth="1"/>
    <col min="9" max="9" width="16.44140625" bestFit="1" customWidth="1"/>
  </cols>
  <sheetData>
    <row r="1" spans="1:9" x14ac:dyDescent="0.3">
      <c r="A1" s="7" t="s">
        <v>49</v>
      </c>
      <c r="B1" t="s">
        <v>63</v>
      </c>
      <c r="D1" s="7" t="s">
        <v>49</v>
      </c>
      <c r="E1" t="s">
        <v>63</v>
      </c>
      <c r="F1" t="s">
        <v>64</v>
      </c>
      <c r="H1" s="7" t="s">
        <v>49</v>
      </c>
      <c r="I1" t="s">
        <v>63</v>
      </c>
    </row>
    <row r="2" spans="1:9" x14ac:dyDescent="0.3">
      <c r="A2" s="8" t="s">
        <v>39</v>
      </c>
      <c r="B2" s="9">
        <v>218806.32</v>
      </c>
      <c r="D2" s="8" t="s">
        <v>34</v>
      </c>
      <c r="E2" s="9">
        <v>193307.97999999998</v>
      </c>
      <c r="F2" s="10">
        <v>633</v>
      </c>
      <c r="H2" s="8" t="s">
        <v>51</v>
      </c>
      <c r="I2" s="9">
        <v>234177.06</v>
      </c>
    </row>
    <row r="3" spans="1:9" x14ac:dyDescent="0.3">
      <c r="A3" s="8" t="s">
        <v>66</v>
      </c>
      <c r="B3" s="9">
        <v>213451.87000000005</v>
      </c>
      <c r="D3" s="8" t="s">
        <v>29</v>
      </c>
      <c r="E3" s="9">
        <v>424206.29000000004</v>
      </c>
      <c r="F3" s="10">
        <v>1036</v>
      </c>
      <c r="H3" s="8" t="s">
        <v>52</v>
      </c>
      <c r="I3" s="9">
        <v>165986.63999999998</v>
      </c>
    </row>
    <row r="4" spans="1:9" x14ac:dyDescent="0.3">
      <c r="A4" s="8" t="s">
        <v>24</v>
      </c>
      <c r="B4" s="9">
        <v>148648.10000000003</v>
      </c>
      <c r="D4" s="8" t="s">
        <v>13</v>
      </c>
      <c r="E4" s="9">
        <v>307831.8</v>
      </c>
      <c r="F4" s="10">
        <v>660</v>
      </c>
      <c r="H4" s="8" t="s">
        <v>53</v>
      </c>
      <c r="I4" s="9">
        <v>146585.84000000005</v>
      </c>
    </row>
    <row r="5" spans="1:9" x14ac:dyDescent="0.3">
      <c r="A5" s="8" t="s">
        <v>31</v>
      </c>
      <c r="B5" s="9">
        <v>141108.82</v>
      </c>
      <c r="D5" s="8" t="s">
        <v>19</v>
      </c>
      <c r="E5" s="9">
        <v>364109.09</v>
      </c>
      <c r="F5" s="10">
        <v>817</v>
      </c>
      <c r="H5" s="8" t="s">
        <v>54</v>
      </c>
      <c r="I5" s="9">
        <v>193627.94999999998</v>
      </c>
    </row>
    <row r="6" spans="1:9" x14ac:dyDescent="0.3">
      <c r="A6" s="8" t="s">
        <v>26</v>
      </c>
      <c r="B6" s="9">
        <v>219189.04</v>
      </c>
      <c r="D6" s="8" t="s">
        <v>21</v>
      </c>
      <c r="E6" s="9">
        <v>217099.14000000004</v>
      </c>
      <c r="F6" s="10">
        <v>815</v>
      </c>
      <c r="H6" s="8" t="s">
        <v>55</v>
      </c>
      <c r="I6" s="9">
        <v>155926.37</v>
      </c>
    </row>
    <row r="7" spans="1:9" x14ac:dyDescent="0.3">
      <c r="A7" s="8" t="s">
        <v>17</v>
      </c>
      <c r="B7" s="9">
        <v>158907.48000000004</v>
      </c>
      <c r="D7" s="8" t="s">
        <v>8</v>
      </c>
      <c r="E7" s="9">
        <v>385492.81000000006</v>
      </c>
      <c r="F7" s="10">
        <v>697</v>
      </c>
      <c r="H7" s="8" t="s">
        <v>56</v>
      </c>
      <c r="I7" s="9">
        <v>198107.38999999998</v>
      </c>
    </row>
    <row r="8" spans="1:9" x14ac:dyDescent="0.3">
      <c r="A8" s="8" t="s">
        <v>11</v>
      </c>
      <c r="B8" s="9">
        <v>158758.03</v>
      </c>
      <c r="D8" s="8" t="s">
        <v>50</v>
      </c>
      <c r="E8" s="9">
        <v>1892047.1100000003</v>
      </c>
      <c r="F8" s="10">
        <v>4658</v>
      </c>
      <c r="H8" s="8" t="s">
        <v>57</v>
      </c>
      <c r="I8" s="9">
        <v>82745.909999999989</v>
      </c>
    </row>
    <row r="9" spans="1:9" x14ac:dyDescent="0.3">
      <c r="A9" s="8" t="s">
        <v>14</v>
      </c>
      <c r="B9" s="9">
        <v>228459.31000000006</v>
      </c>
      <c r="H9" s="8" t="s">
        <v>58</v>
      </c>
      <c r="I9" s="9">
        <v>121789.07</v>
      </c>
    </row>
    <row r="10" spans="1:9" x14ac:dyDescent="0.3">
      <c r="A10" s="8" t="s">
        <v>22</v>
      </c>
      <c r="B10" s="9">
        <v>171657.7</v>
      </c>
      <c r="H10" s="8" t="s">
        <v>59</v>
      </c>
      <c r="I10" s="9">
        <v>154818.01</v>
      </c>
    </row>
    <row r="11" spans="1:9" x14ac:dyDescent="0.3">
      <c r="A11" s="8" t="s">
        <v>10</v>
      </c>
      <c r="B11" s="9">
        <v>233060.44000000006</v>
      </c>
      <c r="H11" s="8" t="s">
        <v>60</v>
      </c>
      <c r="I11" s="9">
        <v>127340.53</v>
      </c>
    </row>
    <row r="12" spans="1:9" x14ac:dyDescent="0.3">
      <c r="A12" s="8" t="s">
        <v>50</v>
      </c>
      <c r="B12" s="9">
        <v>1892047.1100000003</v>
      </c>
      <c r="H12" s="8" t="s">
        <v>61</v>
      </c>
      <c r="I12" s="9">
        <v>125769.76999999999</v>
      </c>
    </row>
    <row r="13" spans="1:9" x14ac:dyDescent="0.3">
      <c r="E13" s="7" t="s">
        <v>65</v>
      </c>
      <c r="F13" t="s">
        <v>64</v>
      </c>
      <c r="H13" s="8" t="s">
        <v>62</v>
      </c>
      <c r="I13" s="9">
        <v>185172.57</v>
      </c>
    </row>
    <row r="14" spans="1:9" x14ac:dyDescent="0.3">
      <c r="A14" s="7" t="s">
        <v>49</v>
      </c>
      <c r="B14" t="s">
        <v>63</v>
      </c>
      <c r="C14" t="s">
        <v>64</v>
      </c>
      <c r="E14" s="8" t="s">
        <v>20</v>
      </c>
      <c r="F14" s="10">
        <v>369</v>
      </c>
      <c r="H14" s="8" t="s">
        <v>50</v>
      </c>
      <c r="I14" s="9">
        <v>1892047.11</v>
      </c>
    </row>
    <row r="15" spans="1:9" x14ac:dyDescent="0.3">
      <c r="A15" s="8" t="s">
        <v>51</v>
      </c>
      <c r="B15" s="9">
        <v>234177.06</v>
      </c>
      <c r="C15" s="10">
        <v>462</v>
      </c>
      <c r="E15" s="8" t="s">
        <v>7</v>
      </c>
      <c r="F15" s="10">
        <v>327</v>
      </c>
    </row>
    <row r="16" spans="1:9" x14ac:dyDescent="0.3">
      <c r="A16" s="8" t="s">
        <v>52</v>
      </c>
      <c r="B16" s="9">
        <v>165986.63999999998</v>
      </c>
      <c r="C16" s="10">
        <v>368</v>
      </c>
      <c r="E16" s="8" t="s">
        <v>27</v>
      </c>
      <c r="F16" s="10">
        <v>252</v>
      </c>
    </row>
    <row r="17" spans="1:6" x14ac:dyDescent="0.3">
      <c r="A17" s="8" t="s">
        <v>53</v>
      </c>
      <c r="B17" s="9">
        <v>146585.84000000005</v>
      </c>
      <c r="C17" s="10">
        <v>454</v>
      </c>
      <c r="E17" s="8" t="s">
        <v>35</v>
      </c>
      <c r="F17" s="10">
        <v>252</v>
      </c>
    </row>
    <row r="18" spans="1:6" x14ac:dyDescent="0.3">
      <c r="A18" s="8" t="s">
        <v>54</v>
      </c>
      <c r="B18" s="9">
        <v>193627.94999999998</v>
      </c>
      <c r="C18" s="10">
        <v>446</v>
      </c>
      <c r="E18" s="8" t="s">
        <v>12</v>
      </c>
      <c r="F18" s="10">
        <v>246</v>
      </c>
    </row>
    <row r="19" spans="1:6" x14ac:dyDescent="0.3">
      <c r="A19" s="8" t="s">
        <v>55</v>
      </c>
      <c r="B19" s="9">
        <v>155926.37</v>
      </c>
      <c r="C19" s="10">
        <v>425</v>
      </c>
      <c r="E19" s="8" t="s">
        <v>45</v>
      </c>
      <c r="F19" s="10">
        <v>234</v>
      </c>
    </row>
    <row r="20" spans="1:6" x14ac:dyDescent="0.3">
      <c r="A20" s="8" t="s">
        <v>56</v>
      </c>
      <c r="B20" s="9">
        <v>198107.38999999998</v>
      </c>
      <c r="C20" s="10">
        <v>451</v>
      </c>
      <c r="E20" s="8" t="s">
        <v>37</v>
      </c>
      <c r="F20" s="10">
        <v>225</v>
      </c>
    </row>
    <row r="21" spans="1:6" x14ac:dyDescent="0.3">
      <c r="A21" s="8" t="s">
        <v>57</v>
      </c>
      <c r="B21" s="9">
        <v>82745.909999999989</v>
      </c>
      <c r="C21" s="10">
        <v>275</v>
      </c>
      <c r="E21" s="8" t="s">
        <v>40</v>
      </c>
      <c r="F21" s="10">
        <v>223</v>
      </c>
    </row>
    <row r="22" spans="1:6" x14ac:dyDescent="0.3">
      <c r="A22" s="8" t="s">
        <v>58</v>
      </c>
      <c r="B22" s="9">
        <v>121789.07</v>
      </c>
      <c r="C22" s="10">
        <v>306</v>
      </c>
      <c r="E22" s="8" t="s">
        <v>46</v>
      </c>
      <c r="F22" s="10">
        <v>216</v>
      </c>
    </row>
    <row r="23" spans="1:6" x14ac:dyDescent="0.3">
      <c r="A23" s="8" t="s">
        <v>59</v>
      </c>
      <c r="B23" s="9">
        <v>154818.01</v>
      </c>
      <c r="C23" s="10">
        <v>267</v>
      </c>
      <c r="E23" s="8" t="s">
        <v>16</v>
      </c>
      <c r="F23" s="10">
        <v>211</v>
      </c>
    </row>
    <row r="24" spans="1:6" x14ac:dyDescent="0.3">
      <c r="A24" s="8" t="s">
        <v>60</v>
      </c>
      <c r="B24" s="9">
        <v>127340.53</v>
      </c>
      <c r="C24" s="10">
        <v>397</v>
      </c>
      <c r="E24" s="8" t="s">
        <v>23</v>
      </c>
      <c r="F24" s="10">
        <v>194</v>
      </c>
    </row>
    <row r="25" spans="1:6" x14ac:dyDescent="0.3">
      <c r="A25" s="8" t="s">
        <v>61</v>
      </c>
      <c r="B25" s="9">
        <v>125769.76999999999</v>
      </c>
      <c r="C25" s="10">
        <v>357</v>
      </c>
      <c r="E25" s="8" t="s">
        <v>38</v>
      </c>
      <c r="F25" s="10">
        <v>194</v>
      </c>
    </row>
    <row r="26" spans="1:6" x14ac:dyDescent="0.3">
      <c r="A26" s="8" t="s">
        <v>62</v>
      </c>
      <c r="B26" s="9">
        <v>185172.57</v>
      </c>
      <c r="C26" s="10">
        <v>450</v>
      </c>
      <c r="E26" s="8" t="s">
        <v>43</v>
      </c>
      <c r="F26" s="10">
        <v>193</v>
      </c>
    </row>
    <row r="27" spans="1:6" x14ac:dyDescent="0.3">
      <c r="A27" s="8" t="s">
        <v>50</v>
      </c>
      <c r="B27" s="9">
        <v>1892047.11</v>
      </c>
      <c r="C27" s="10">
        <v>4658</v>
      </c>
      <c r="E27" s="8" t="s">
        <v>30</v>
      </c>
      <c r="F27" s="10">
        <v>191</v>
      </c>
    </row>
    <row r="28" spans="1:6" x14ac:dyDescent="0.3">
      <c r="E28" s="8" t="s">
        <v>15</v>
      </c>
      <c r="F28" s="10">
        <v>179</v>
      </c>
    </row>
    <row r="29" spans="1:6" x14ac:dyDescent="0.3">
      <c r="E29" s="8" t="s">
        <v>44</v>
      </c>
      <c r="F29" s="10">
        <v>176</v>
      </c>
    </row>
    <row r="30" spans="1:6" x14ac:dyDescent="0.3">
      <c r="E30" s="8" t="s">
        <v>28</v>
      </c>
      <c r="F30" s="10">
        <v>159</v>
      </c>
    </row>
    <row r="31" spans="1:6" x14ac:dyDescent="0.3">
      <c r="E31" s="8" t="s">
        <v>42</v>
      </c>
      <c r="F31" s="10">
        <v>155</v>
      </c>
    </row>
    <row r="32" spans="1:6" x14ac:dyDescent="0.3">
      <c r="E32" s="8" t="s">
        <v>18</v>
      </c>
      <c r="F32" s="10">
        <v>148</v>
      </c>
    </row>
    <row r="33" spans="5:6" x14ac:dyDescent="0.3">
      <c r="E33" s="8" t="s">
        <v>36</v>
      </c>
      <c r="F33" s="10">
        <v>111</v>
      </c>
    </row>
    <row r="34" spans="5:6" x14ac:dyDescent="0.3">
      <c r="E34" s="8" t="s">
        <v>25</v>
      </c>
      <c r="F34" s="10">
        <v>108</v>
      </c>
    </row>
    <row r="35" spans="5:6" x14ac:dyDescent="0.3">
      <c r="E35" s="8" t="s">
        <v>41</v>
      </c>
      <c r="F35" s="10">
        <v>107</v>
      </c>
    </row>
    <row r="36" spans="5:6" x14ac:dyDescent="0.3">
      <c r="E36" s="8" t="s">
        <v>32</v>
      </c>
      <c r="F36" s="10">
        <v>95</v>
      </c>
    </row>
    <row r="37" spans="5:6" x14ac:dyDescent="0.3">
      <c r="E37" s="8" t="s">
        <v>33</v>
      </c>
      <c r="F37" s="10">
        <v>85</v>
      </c>
    </row>
    <row r="38" spans="5:6" x14ac:dyDescent="0.3">
      <c r="E38" s="8" t="s">
        <v>47</v>
      </c>
      <c r="F38" s="10">
        <v>8</v>
      </c>
    </row>
    <row r="39" spans="5:6" x14ac:dyDescent="0.3">
      <c r="E39" s="8" t="s">
        <v>50</v>
      </c>
      <c r="F39" s="10">
        <v>4658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zoomScaleNormal="100" workbookViewId="0">
      <pane ySplit="1" topLeftCell="A201" activePane="bottomLeft" state="frozen"/>
      <selection pane="bottomLeft" activeCell="F216" sqref="A1:G221"/>
    </sheetView>
  </sheetViews>
  <sheetFormatPr defaultColWidth="8.6640625" defaultRowHeight="14.4" x14ac:dyDescent="0.3"/>
  <cols>
    <col min="1" max="1" width="26" customWidth="1"/>
    <col min="2" max="2" width="16" customWidth="1"/>
    <col min="3" max="3" width="15" customWidth="1"/>
    <col min="4" max="4" width="14" customWidth="1"/>
    <col min="5" max="5" width="13" customWidth="1"/>
    <col min="6" max="6" width="18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34</v>
      </c>
      <c r="D2" s="3">
        <v>922.45</v>
      </c>
      <c r="E2" s="4">
        <v>45658</v>
      </c>
      <c r="F2" s="2" t="s">
        <v>9</v>
      </c>
      <c r="G2" s="3">
        <f t="shared" ref="G2:G65" si="0">C2*D2</f>
        <v>31363.300000000003</v>
      </c>
    </row>
    <row r="3" spans="1:7" x14ac:dyDescent="0.3">
      <c r="A3" s="2" t="s">
        <v>7</v>
      </c>
      <c r="B3" s="2" t="s">
        <v>8</v>
      </c>
      <c r="C3" s="2">
        <v>33</v>
      </c>
      <c r="D3" s="3">
        <v>952.42</v>
      </c>
      <c r="E3" s="4">
        <v>45658</v>
      </c>
      <c r="F3" s="2" t="s">
        <v>10</v>
      </c>
      <c r="G3" s="3">
        <f t="shared" si="0"/>
        <v>31429.859999999997</v>
      </c>
    </row>
    <row r="4" spans="1:7" x14ac:dyDescent="0.3">
      <c r="A4" s="2" t="s">
        <v>7</v>
      </c>
      <c r="B4" s="2" t="s">
        <v>8</v>
      </c>
      <c r="C4" s="2">
        <v>31</v>
      </c>
      <c r="D4" s="3">
        <v>973.6</v>
      </c>
      <c r="E4" s="4">
        <v>45661</v>
      </c>
      <c r="F4" s="2" t="s">
        <v>11</v>
      </c>
      <c r="G4" s="3">
        <f t="shared" si="0"/>
        <v>30181.600000000002</v>
      </c>
    </row>
    <row r="5" spans="1:7" x14ac:dyDescent="0.3">
      <c r="A5" s="2" t="s">
        <v>12</v>
      </c>
      <c r="B5" s="2" t="s">
        <v>13</v>
      </c>
      <c r="C5" s="2">
        <v>5</v>
      </c>
      <c r="D5" s="3">
        <v>376.62</v>
      </c>
      <c r="E5" s="4">
        <v>45662</v>
      </c>
      <c r="F5" s="2" t="s">
        <v>14</v>
      </c>
      <c r="G5" s="3">
        <f t="shared" si="0"/>
        <v>1883.1</v>
      </c>
    </row>
    <row r="6" spans="1:7" x14ac:dyDescent="0.3">
      <c r="A6" s="2" t="s">
        <v>15</v>
      </c>
      <c r="B6" s="2" t="s">
        <v>8</v>
      </c>
      <c r="C6" s="2">
        <v>34</v>
      </c>
      <c r="D6" s="3">
        <v>148.4</v>
      </c>
      <c r="E6" s="4">
        <v>45662</v>
      </c>
      <c r="F6" s="2" t="s">
        <v>10</v>
      </c>
      <c r="G6" s="3">
        <f t="shared" si="0"/>
        <v>5045.6000000000004</v>
      </c>
    </row>
    <row r="7" spans="1:7" x14ac:dyDescent="0.3">
      <c r="A7" s="2" t="s">
        <v>16</v>
      </c>
      <c r="B7" s="2" t="s">
        <v>13</v>
      </c>
      <c r="C7" s="2">
        <v>35</v>
      </c>
      <c r="D7" s="3">
        <v>433.23</v>
      </c>
      <c r="E7" s="4">
        <v>45665</v>
      </c>
      <c r="F7" s="2" t="s">
        <v>17</v>
      </c>
      <c r="G7" s="3">
        <f t="shared" si="0"/>
        <v>15163.050000000001</v>
      </c>
    </row>
    <row r="8" spans="1:7" x14ac:dyDescent="0.3">
      <c r="A8" s="2" t="s">
        <v>18</v>
      </c>
      <c r="B8" s="2" t="s">
        <v>19</v>
      </c>
      <c r="C8" s="2">
        <v>29</v>
      </c>
      <c r="D8" s="3">
        <v>291.91000000000003</v>
      </c>
      <c r="E8" s="4">
        <v>45666</v>
      </c>
      <c r="F8" s="2" t="s">
        <v>17</v>
      </c>
      <c r="G8" s="3">
        <f t="shared" si="0"/>
        <v>8465.3900000000012</v>
      </c>
    </row>
    <row r="9" spans="1:7" x14ac:dyDescent="0.3">
      <c r="A9" s="2" t="s">
        <v>20</v>
      </c>
      <c r="B9" s="2" t="s">
        <v>21</v>
      </c>
      <c r="C9" s="2">
        <v>31</v>
      </c>
      <c r="D9" s="3">
        <v>296.39</v>
      </c>
      <c r="E9" s="4">
        <v>45667</v>
      </c>
      <c r="F9" s="2" t="s">
        <v>10</v>
      </c>
      <c r="G9" s="3">
        <f t="shared" si="0"/>
        <v>9188.09</v>
      </c>
    </row>
    <row r="10" spans="1:7" x14ac:dyDescent="0.3">
      <c r="A10" s="2" t="s">
        <v>7</v>
      </c>
      <c r="B10" s="2" t="s">
        <v>8</v>
      </c>
      <c r="C10" s="2">
        <v>3</v>
      </c>
      <c r="D10" s="3">
        <v>1020.72</v>
      </c>
      <c r="E10" s="4">
        <v>45673</v>
      </c>
      <c r="F10" s="2" t="s">
        <v>22</v>
      </c>
      <c r="G10" s="3">
        <f t="shared" si="0"/>
        <v>3062.16</v>
      </c>
    </row>
    <row r="11" spans="1:7" x14ac:dyDescent="0.3">
      <c r="A11" s="2" t="s">
        <v>7</v>
      </c>
      <c r="B11" s="2" t="s">
        <v>8</v>
      </c>
      <c r="C11" s="2">
        <v>15</v>
      </c>
      <c r="D11" s="3">
        <v>998.34</v>
      </c>
      <c r="E11" s="4">
        <v>45674</v>
      </c>
      <c r="F11" s="2" t="s">
        <v>11</v>
      </c>
      <c r="G11" s="3">
        <f t="shared" si="0"/>
        <v>14975.1</v>
      </c>
    </row>
    <row r="12" spans="1:7" x14ac:dyDescent="0.3">
      <c r="A12" s="2" t="s">
        <v>15</v>
      </c>
      <c r="B12" s="2" t="s">
        <v>8</v>
      </c>
      <c r="C12" s="2">
        <v>19</v>
      </c>
      <c r="D12" s="3">
        <v>154.08000000000001</v>
      </c>
      <c r="E12" s="4">
        <v>45674</v>
      </c>
      <c r="F12" s="2" t="s">
        <v>22</v>
      </c>
      <c r="G12" s="3">
        <f t="shared" si="0"/>
        <v>2927.5200000000004</v>
      </c>
    </row>
    <row r="13" spans="1:7" x14ac:dyDescent="0.3">
      <c r="A13" s="2" t="s">
        <v>23</v>
      </c>
      <c r="B13" s="2" t="s">
        <v>19</v>
      </c>
      <c r="C13" s="2">
        <v>39</v>
      </c>
      <c r="D13" s="3">
        <v>314.24</v>
      </c>
      <c r="E13" s="4">
        <v>45678</v>
      </c>
      <c r="F13" s="2" t="s">
        <v>9</v>
      </c>
      <c r="G13" s="3">
        <f t="shared" si="0"/>
        <v>12255.36</v>
      </c>
    </row>
    <row r="14" spans="1:7" x14ac:dyDescent="0.3">
      <c r="A14" s="2" t="s">
        <v>23</v>
      </c>
      <c r="B14" s="2" t="s">
        <v>19</v>
      </c>
      <c r="C14" s="2">
        <v>27</v>
      </c>
      <c r="D14" s="3">
        <v>319.93</v>
      </c>
      <c r="E14" s="4">
        <v>45680</v>
      </c>
      <c r="F14" s="2" t="s">
        <v>11</v>
      </c>
      <c r="G14" s="3">
        <f t="shared" si="0"/>
        <v>8638.11</v>
      </c>
    </row>
    <row r="15" spans="1:7" x14ac:dyDescent="0.3">
      <c r="A15" s="2" t="s">
        <v>15</v>
      </c>
      <c r="B15" s="2" t="s">
        <v>8</v>
      </c>
      <c r="C15" s="2">
        <v>18</v>
      </c>
      <c r="D15" s="3">
        <v>152.91999999999999</v>
      </c>
      <c r="E15" s="4">
        <v>45681</v>
      </c>
      <c r="F15" s="2" t="s">
        <v>24</v>
      </c>
      <c r="G15" s="3">
        <f t="shared" si="0"/>
        <v>2752.56</v>
      </c>
    </row>
    <row r="16" spans="1:7" x14ac:dyDescent="0.3">
      <c r="A16" s="2" t="s">
        <v>15</v>
      </c>
      <c r="B16" s="2" t="s">
        <v>8</v>
      </c>
      <c r="C16" s="2">
        <v>2</v>
      </c>
      <c r="D16" s="3">
        <v>148.34</v>
      </c>
      <c r="E16" s="4">
        <v>45681</v>
      </c>
      <c r="F16" s="2" t="s">
        <v>11</v>
      </c>
      <c r="G16" s="3">
        <f t="shared" si="0"/>
        <v>296.68</v>
      </c>
    </row>
    <row r="17" spans="1:7" x14ac:dyDescent="0.3">
      <c r="A17" s="2" t="s">
        <v>25</v>
      </c>
      <c r="B17" s="2" t="s">
        <v>13</v>
      </c>
      <c r="C17" s="2">
        <v>12</v>
      </c>
      <c r="D17" s="3">
        <v>624.5</v>
      </c>
      <c r="E17" s="4">
        <v>45684</v>
      </c>
      <c r="F17" s="2" t="s">
        <v>26</v>
      </c>
      <c r="G17" s="3">
        <f t="shared" si="0"/>
        <v>7494</v>
      </c>
    </row>
    <row r="18" spans="1:7" x14ac:dyDescent="0.3">
      <c r="A18" s="2" t="s">
        <v>27</v>
      </c>
      <c r="B18" s="2" t="s">
        <v>19</v>
      </c>
      <c r="C18" s="2">
        <v>29</v>
      </c>
      <c r="D18" s="3">
        <v>723.35</v>
      </c>
      <c r="E18" s="4">
        <v>45684</v>
      </c>
      <c r="F18" s="2" t="s">
        <v>22</v>
      </c>
      <c r="G18" s="3">
        <f t="shared" si="0"/>
        <v>20977.15</v>
      </c>
    </row>
    <row r="19" spans="1:7" x14ac:dyDescent="0.3">
      <c r="A19" s="2" t="s">
        <v>28</v>
      </c>
      <c r="B19" s="2" t="s">
        <v>29</v>
      </c>
      <c r="C19" s="2">
        <v>14</v>
      </c>
      <c r="D19" s="3">
        <v>467.85</v>
      </c>
      <c r="E19" s="4">
        <v>45687</v>
      </c>
      <c r="F19" s="2" t="s">
        <v>9</v>
      </c>
      <c r="G19" s="3">
        <f t="shared" si="0"/>
        <v>6549.9000000000005</v>
      </c>
    </row>
    <row r="20" spans="1:7" x14ac:dyDescent="0.3">
      <c r="A20" s="2" t="s">
        <v>30</v>
      </c>
      <c r="B20" s="2" t="s">
        <v>8</v>
      </c>
      <c r="C20" s="2">
        <v>21</v>
      </c>
      <c r="D20" s="3">
        <v>204.1</v>
      </c>
      <c r="E20" s="4">
        <v>45687</v>
      </c>
      <c r="F20" s="2" t="s">
        <v>24</v>
      </c>
      <c r="G20" s="3">
        <f t="shared" si="0"/>
        <v>4286.0999999999995</v>
      </c>
    </row>
    <row r="21" spans="1:7" x14ac:dyDescent="0.3">
      <c r="A21" s="2" t="s">
        <v>25</v>
      </c>
      <c r="B21" s="2" t="s">
        <v>13</v>
      </c>
      <c r="C21" s="2">
        <v>26</v>
      </c>
      <c r="D21" s="3">
        <v>606.23</v>
      </c>
      <c r="E21" s="4">
        <v>45688</v>
      </c>
      <c r="F21" s="2" t="s">
        <v>31</v>
      </c>
      <c r="G21" s="3">
        <f t="shared" si="0"/>
        <v>15761.98</v>
      </c>
    </row>
    <row r="22" spans="1:7" x14ac:dyDescent="0.3">
      <c r="A22" s="2" t="s">
        <v>20</v>
      </c>
      <c r="B22" s="2" t="s">
        <v>21</v>
      </c>
      <c r="C22" s="2">
        <v>5</v>
      </c>
      <c r="D22" s="3">
        <v>296.08999999999997</v>
      </c>
      <c r="E22" s="4">
        <v>45688</v>
      </c>
      <c r="F22" s="2" t="s">
        <v>31</v>
      </c>
      <c r="G22" s="3">
        <f t="shared" si="0"/>
        <v>1480.4499999999998</v>
      </c>
    </row>
    <row r="23" spans="1:7" x14ac:dyDescent="0.3">
      <c r="A23" s="2" t="s">
        <v>32</v>
      </c>
      <c r="B23" s="2" t="s">
        <v>13</v>
      </c>
      <c r="C23" s="2">
        <v>12</v>
      </c>
      <c r="D23" s="3">
        <v>518.62</v>
      </c>
      <c r="E23" s="4">
        <v>45693</v>
      </c>
      <c r="F23" s="2" t="s">
        <v>9</v>
      </c>
      <c r="G23" s="3">
        <f t="shared" si="0"/>
        <v>6223.4400000000005</v>
      </c>
    </row>
    <row r="24" spans="1:7" x14ac:dyDescent="0.3">
      <c r="A24" s="2" t="s">
        <v>33</v>
      </c>
      <c r="B24" s="2" t="s">
        <v>34</v>
      </c>
      <c r="C24" s="2">
        <v>24</v>
      </c>
      <c r="D24" s="3">
        <v>91.73</v>
      </c>
      <c r="E24" s="4">
        <v>45693</v>
      </c>
      <c r="F24" s="2" t="s">
        <v>10</v>
      </c>
      <c r="G24" s="3">
        <f t="shared" si="0"/>
        <v>2201.52</v>
      </c>
    </row>
    <row r="25" spans="1:7" x14ac:dyDescent="0.3">
      <c r="A25" s="2" t="s">
        <v>32</v>
      </c>
      <c r="B25" s="2" t="s">
        <v>13</v>
      </c>
      <c r="C25" s="2">
        <v>9</v>
      </c>
      <c r="D25" s="3">
        <v>565.39</v>
      </c>
      <c r="E25" s="4">
        <v>45693</v>
      </c>
      <c r="F25" s="2" t="s">
        <v>26</v>
      </c>
      <c r="G25" s="3">
        <f t="shared" si="0"/>
        <v>5088.51</v>
      </c>
    </row>
    <row r="26" spans="1:7" x14ac:dyDescent="0.3">
      <c r="A26" s="2" t="s">
        <v>35</v>
      </c>
      <c r="B26" s="2" t="s">
        <v>21</v>
      </c>
      <c r="C26" s="2">
        <v>30</v>
      </c>
      <c r="D26" s="3">
        <v>197.96</v>
      </c>
      <c r="E26" s="4">
        <v>45694</v>
      </c>
      <c r="F26" s="2" t="s">
        <v>22</v>
      </c>
      <c r="G26" s="3">
        <f t="shared" si="0"/>
        <v>5938.8</v>
      </c>
    </row>
    <row r="27" spans="1:7" x14ac:dyDescent="0.3">
      <c r="A27" s="2" t="s">
        <v>27</v>
      </c>
      <c r="B27" s="2" t="s">
        <v>19</v>
      </c>
      <c r="C27" s="2">
        <v>7</v>
      </c>
      <c r="D27" s="3">
        <v>745.06</v>
      </c>
      <c r="E27" s="4">
        <v>45695</v>
      </c>
      <c r="F27" s="2" t="s">
        <v>10</v>
      </c>
      <c r="G27" s="3">
        <f t="shared" si="0"/>
        <v>5215.42</v>
      </c>
    </row>
    <row r="28" spans="1:7" x14ac:dyDescent="0.3">
      <c r="A28" s="2" t="s">
        <v>36</v>
      </c>
      <c r="B28" s="2" t="s">
        <v>29</v>
      </c>
      <c r="C28" s="2">
        <v>16</v>
      </c>
      <c r="D28" s="3">
        <v>877.73</v>
      </c>
      <c r="E28" s="4">
        <v>45696</v>
      </c>
      <c r="F28" s="2" t="s">
        <v>14</v>
      </c>
      <c r="G28" s="3">
        <f t="shared" si="0"/>
        <v>14043.68</v>
      </c>
    </row>
    <row r="29" spans="1:7" x14ac:dyDescent="0.3">
      <c r="A29" s="2" t="s">
        <v>37</v>
      </c>
      <c r="B29" s="2" t="s">
        <v>34</v>
      </c>
      <c r="C29" s="2">
        <v>13</v>
      </c>
      <c r="D29" s="3">
        <v>278.82</v>
      </c>
      <c r="E29" s="4">
        <v>45696</v>
      </c>
      <c r="F29" s="2" t="s">
        <v>9</v>
      </c>
      <c r="G29" s="3">
        <f t="shared" si="0"/>
        <v>3624.66</v>
      </c>
    </row>
    <row r="30" spans="1:7" x14ac:dyDescent="0.3">
      <c r="A30" s="2" t="s">
        <v>18</v>
      </c>
      <c r="B30" s="2" t="s">
        <v>19</v>
      </c>
      <c r="C30" s="2">
        <v>29</v>
      </c>
      <c r="D30" s="3">
        <v>274.70999999999998</v>
      </c>
      <c r="E30" s="4">
        <v>45697</v>
      </c>
      <c r="F30" s="2" t="s">
        <v>26</v>
      </c>
      <c r="G30" s="3">
        <f t="shared" si="0"/>
        <v>7966.5899999999992</v>
      </c>
    </row>
    <row r="31" spans="1:7" x14ac:dyDescent="0.3">
      <c r="A31" s="2" t="s">
        <v>38</v>
      </c>
      <c r="B31" s="2" t="s">
        <v>21</v>
      </c>
      <c r="C31" s="2">
        <v>37</v>
      </c>
      <c r="D31" s="3">
        <v>306.41000000000003</v>
      </c>
      <c r="E31" s="4">
        <v>45698</v>
      </c>
      <c r="F31" s="2" t="s">
        <v>17</v>
      </c>
      <c r="G31" s="3">
        <f t="shared" si="0"/>
        <v>11337.17</v>
      </c>
    </row>
    <row r="32" spans="1:7" x14ac:dyDescent="0.3">
      <c r="A32" s="2" t="s">
        <v>28</v>
      </c>
      <c r="B32" s="2" t="s">
        <v>29</v>
      </c>
      <c r="C32" s="2">
        <v>35</v>
      </c>
      <c r="D32" s="3">
        <v>501.96</v>
      </c>
      <c r="E32" s="4">
        <v>45702</v>
      </c>
      <c r="F32" s="2" t="s">
        <v>9</v>
      </c>
      <c r="G32" s="3">
        <f t="shared" si="0"/>
        <v>17568.599999999999</v>
      </c>
    </row>
    <row r="33" spans="1:7" x14ac:dyDescent="0.3">
      <c r="A33" s="2" t="s">
        <v>32</v>
      </c>
      <c r="B33" s="2" t="s">
        <v>13</v>
      </c>
      <c r="C33" s="2">
        <v>4</v>
      </c>
      <c r="D33" s="3">
        <v>547.29</v>
      </c>
      <c r="E33" s="4">
        <v>45705</v>
      </c>
      <c r="F33" s="2" t="s">
        <v>39</v>
      </c>
      <c r="G33" s="3">
        <f t="shared" si="0"/>
        <v>2189.16</v>
      </c>
    </row>
    <row r="34" spans="1:7" x14ac:dyDescent="0.3">
      <c r="A34" s="2" t="s">
        <v>40</v>
      </c>
      <c r="B34" s="2" t="s">
        <v>19</v>
      </c>
      <c r="C34" s="2">
        <v>22</v>
      </c>
      <c r="D34" s="3">
        <v>361.3</v>
      </c>
      <c r="E34" s="4">
        <v>45705</v>
      </c>
      <c r="F34" s="2" t="s">
        <v>22</v>
      </c>
      <c r="G34" s="3">
        <f t="shared" si="0"/>
        <v>7948.6</v>
      </c>
    </row>
    <row r="35" spans="1:7" x14ac:dyDescent="0.3">
      <c r="A35" s="2" t="s">
        <v>7</v>
      </c>
      <c r="B35" s="2" t="s">
        <v>8</v>
      </c>
      <c r="C35" s="2">
        <v>19</v>
      </c>
      <c r="D35" s="3">
        <v>967.29</v>
      </c>
      <c r="E35" s="4">
        <v>45709</v>
      </c>
      <c r="F35" s="2" t="s">
        <v>22</v>
      </c>
      <c r="G35" s="3">
        <f t="shared" si="0"/>
        <v>18378.509999999998</v>
      </c>
    </row>
    <row r="36" spans="1:7" x14ac:dyDescent="0.3">
      <c r="A36" s="2" t="s">
        <v>41</v>
      </c>
      <c r="B36" s="2" t="s">
        <v>34</v>
      </c>
      <c r="C36" s="2">
        <v>29</v>
      </c>
      <c r="D36" s="3">
        <v>361.44</v>
      </c>
      <c r="E36" s="4">
        <v>45709</v>
      </c>
      <c r="F36" s="2" t="s">
        <v>10</v>
      </c>
      <c r="G36" s="3">
        <f t="shared" si="0"/>
        <v>10481.76</v>
      </c>
    </row>
    <row r="37" spans="1:7" x14ac:dyDescent="0.3">
      <c r="A37" s="2" t="s">
        <v>28</v>
      </c>
      <c r="B37" s="2" t="s">
        <v>29</v>
      </c>
      <c r="C37" s="2">
        <v>22</v>
      </c>
      <c r="D37" s="3">
        <v>469.44</v>
      </c>
      <c r="E37" s="4">
        <v>45710</v>
      </c>
      <c r="F37" s="2" t="s">
        <v>17</v>
      </c>
      <c r="G37" s="3">
        <f t="shared" si="0"/>
        <v>10327.68</v>
      </c>
    </row>
    <row r="38" spans="1:7" x14ac:dyDescent="0.3">
      <c r="A38" s="2" t="s">
        <v>15</v>
      </c>
      <c r="B38" s="2" t="s">
        <v>8</v>
      </c>
      <c r="C38" s="2">
        <v>16</v>
      </c>
      <c r="D38" s="3">
        <v>158.69999999999999</v>
      </c>
      <c r="E38" s="4">
        <v>45710</v>
      </c>
      <c r="F38" s="2" t="s">
        <v>26</v>
      </c>
      <c r="G38" s="3">
        <f t="shared" si="0"/>
        <v>2539.1999999999998</v>
      </c>
    </row>
    <row r="39" spans="1:7" x14ac:dyDescent="0.3">
      <c r="A39" s="2" t="s">
        <v>42</v>
      </c>
      <c r="B39" s="2" t="s">
        <v>29</v>
      </c>
      <c r="C39" s="2">
        <v>22</v>
      </c>
      <c r="D39" s="3">
        <v>651.52</v>
      </c>
      <c r="E39" s="4">
        <v>45713</v>
      </c>
      <c r="F39" s="2" t="s">
        <v>22</v>
      </c>
      <c r="G39" s="3">
        <f t="shared" si="0"/>
        <v>14333.439999999999</v>
      </c>
    </row>
    <row r="40" spans="1:7" x14ac:dyDescent="0.3">
      <c r="A40" s="2" t="s">
        <v>7</v>
      </c>
      <c r="B40" s="2" t="s">
        <v>8</v>
      </c>
      <c r="C40" s="2">
        <v>22</v>
      </c>
      <c r="D40" s="3">
        <v>935.45</v>
      </c>
      <c r="E40" s="4">
        <v>45715</v>
      </c>
      <c r="F40" s="2" t="s">
        <v>26</v>
      </c>
      <c r="G40" s="3">
        <f t="shared" si="0"/>
        <v>20579.900000000001</v>
      </c>
    </row>
    <row r="41" spans="1:7" x14ac:dyDescent="0.3">
      <c r="A41" s="2" t="s">
        <v>20</v>
      </c>
      <c r="B41" s="2" t="s">
        <v>21</v>
      </c>
      <c r="C41" s="2">
        <v>15</v>
      </c>
      <c r="D41" s="3">
        <v>277.16000000000003</v>
      </c>
      <c r="E41" s="4">
        <v>45719</v>
      </c>
      <c r="F41" s="2" t="s">
        <v>22</v>
      </c>
      <c r="G41" s="3">
        <f t="shared" si="0"/>
        <v>4157.4000000000005</v>
      </c>
    </row>
    <row r="42" spans="1:7" x14ac:dyDescent="0.3">
      <c r="A42" s="2" t="s">
        <v>42</v>
      </c>
      <c r="B42" s="2" t="s">
        <v>29</v>
      </c>
      <c r="C42" s="2">
        <v>35</v>
      </c>
      <c r="D42" s="3">
        <v>679.16</v>
      </c>
      <c r="E42" s="4">
        <v>45721</v>
      </c>
      <c r="F42" s="2" t="s">
        <v>39</v>
      </c>
      <c r="G42" s="3">
        <f t="shared" si="0"/>
        <v>23770.6</v>
      </c>
    </row>
    <row r="43" spans="1:7" x14ac:dyDescent="0.3">
      <c r="A43" s="2" t="s">
        <v>30</v>
      </c>
      <c r="B43" s="2" t="s">
        <v>8</v>
      </c>
      <c r="C43" s="2">
        <v>30</v>
      </c>
      <c r="D43" s="3">
        <v>194.29</v>
      </c>
      <c r="E43" s="4">
        <v>45723</v>
      </c>
      <c r="F43" s="2" t="s">
        <v>9</v>
      </c>
      <c r="G43" s="3">
        <f t="shared" si="0"/>
        <v>5828.7</v>
      </c>
    </row>
    <row r="44" spans="1:7" x14ac:dyDescent="0.3">
      <c r="A44" s="2" t="s">
        <v>20</v>
      </c>
      <c r="B44" s="2" t="s">
        <v>21</v>
      </c>
      <c r="C44" s="2">
        <v>22</v>
      </c>
      <c r="D44" s="3">
        <v>267.60000000000002</v>
      </c>
      <c r="E44" s="4">
        <v>45724</v>
      </c>
      <c r="F44" s="2" t="s">
        <v>26</v>
      </c>
      <c r="G44" s="3">
        <f t="shared" si="0"/>
        <v>5887.2000000000007</v>
      </c>
    </row>
    <row r="45" spans="1:7" x14ac:dyDescent="0.3">
      <c r="A45" s="2" t="s">
        <v>35</v>
      </c>
      <c r="B45" s="2" t="s">
        <v>21</v>
      </c>
      <c r="C45" s="2">
        <v>7</v>
      </c>
      <c r="D45" s="3">
        <v>203.51</v>
      </c>
      <c r="E45" s="4">
        <v>45726</v>
      </c>
      <c r="F45" s="2" t="s">
        <v>26</v>
      </c>
      <c r="G45" s="3">
        <f t="shared" si="0"/>
        <v>1424.57</v>
      </c>
    </row>
    <row r="46" spans="1:7" x14ac:dyDescent="0.3">
      <c r="A46" s="2" t="s">
        <v>40</v>
      </c>
      <c r="B46" s="2" t="s">
        <v>19</v>
      </c>
      <c r="C46" s="2">
        <v>28</v>
      </c>
      <c r="D46" s="3">
        <v>333.73</v>
      </c>
      <c r="E46" s="4">
        <v>45727</v>
      </c>
      <c r="F46" s="2" t="s">
        <v>14</v>
      </c>
      <c r="G46" s="3">
        <f t="shared" si="0"/>
        <v>9344.44</v>
      </c>
    </row>
    <row r="47" spans="1:7" x14ac:dyDescent="0.3">
      <c r="A47" s="2" t="s">
        <v>43</v>
      </c>
      <c r="B47" s="2" t="s">
        <v>29</v>
      </c>
      <c r="C47" s="2">
        <v>29</v>
      </c>
      <c r="D47" s="3">
        <v>146.21</v>
      </c>
      <c r="E47" s="4">
        <v>45729</v>
      </c>
      <c r="F47" s="2" t="s">
        <v>39</v>
      </c>
      <c r="G47" s="3">
        <f t="shared" si="0"/>
        <v>4240.09</v>
      </c>
    </row>
    <row r="48" spans="1:7" x14ac:dyDescent="0.3">
      <c r="A48" s="2" t="s">
        <v>40</v>
      </c>
      <c r="B48" s="2" t="s">
        <v>19</v>
      </c>
      <c r="C48" s="2">
        <v>13</v>
      </c>
      <c r="D48" s="3">
        <v>346.62</v>
      </c>
      <c r="E48" s="4">
        <v>45733</v>
      </c>
      <c r="F48" s="2" t="s">
        <v>24</v>
      </c>
      <c r="G48" s="3">
        <f t="shared" si="0"/>
        <v>4506.0600000000004</v>
      </c>
    </row>
    <row r="49" spans="1:7" x14ac:dyDescent="0.3">
      <c r="A49" s="2" t="s">
        <v>23</v>
      </c>
      <c r="B49" s="2" t="s">
        <v>19</v>
      </c>
      <c r="C49" s="2">
        <v>32</v>
      </c>
      <c r="D49" s="3">
        <v>345.55</v>
      </c>
      <c r="E49" s="4">
        <v>45734</v>
      </c>
      <c r="F49" s="2" t="s">
        <v>14</v>
      </c>
      <c r="G49" s="3">
        <f t="shared" si="0"/>
        <v>11057.6</v>
      </c>
    </row>
    <row r="50" spans="1:7" x14ac:dyDescent="0.3">
      <c r="A50" s="2" t="s">
        <v>44</v>
      </c>
      <c r="B50" s="2" t="s">
        <v>29</v>
      </c>
      <c r="C50" s="2">
        <v>4</v>
      </c>
      <c r="D50" s="3">
        <v>225.5</v>
      </c>
      <c r="E50" s="4">
        <v>45735</v>
      </c>
      <c r="F50" s="2" t="s">
        <v>31</v>
      </c>
      <c r="G50" s="3">
        <f t="shared" si="0"/>
        <v>902</v>
      </c>
    </row>
    <row r="51" spans="1:7" x14ac:dyDescent="0.3">
      <c r="A51" s="2" t="s">
        <v>44</v>
      </c>
      <c r="B51" s="2" t="s">
        <v>29</v>
      </c>
      <c r="C51" s="2">
        <v>8</v>
      </c>
      <c r="D51" s="3">
        <v>230.62</v>
      </c>
      <c r="E51" s="4">
        <v>45736</v>
      </c>
      <c r="F51" s="2" t="s">
        <v>31</v>
      </c>
      <c r="G51" s="3">
        <f t="shared" si="0"/>
        <v>1844.96</v>
      </c>
    </row>
    <row r="52" spans="1:7" x14ac:dyDescent="0.3">
      <c r="A52" s="2" t="s">
        <v>18</v>
      </c>
      <c r="B52" s="2" t="s">
        <v>19</v>
      </c>
      <c r="C52" s="2">
        <v>13</v>
      </c>
      <c r="D52" s="3">
        <v>284.48</v>
      </c>
      <c r="E52" s="4">
        <v>45736</v>
      </c>
      <c r="F52" s="2" t="s">
        <v>11</v>
      </c>
      <c r="G52" s="3">
        <f t="shared" si="0"/>
        <v>3698.2400000000002</v>
      </c>
    </row>
    <row r="53" spans="1:7" x14ac:dyDescent="0.3">
      <c r="A53" s="2" t="s">
        <v>43</v>
      </c>
      <c r="B53" s="2" t="s">
        <v>29</v>
      </c>
      <c r="C53" s="2">
        <v>40</v>
      </c>
      <c r="D53" s="3">
        <v>158.86000000000001</v>
      </c>
      <c r="E53" s="4">
        <v>45736</v>
      </c>
      <c r="F53" s="2" t="s">
        <v>22</v>
      </c>
      <c r="G53" s="3">
        <f t="shared" si="0"/>
        <v>6354.4000000000005</v>
      </c>
    </row>
    <row r="54" spans="1:7" x14ac:dyDescent="0.3">
      <c r="A54" s="2" t="s">
        <v>45</v>
      </c>
      <c r="B54" s="2" t="s">
        <v>29</v>
      </c>
      <c r="C54" s="2">
        <v>36</v>
      </c>
      <c r="D54" s="3">
        <v>277.07</v>
      </c>
      <c r="E54" s="4">
        <v>45737</v>
      </c>
      <c r="F54" s="2" t="s">
        <v>26</v>
      </c>
      <c r="G54" s="3">
        <f t="shared" si="0"/>
        <v>9974.52</v>
      </c>
    </row>
    <row r="55" spans="1:7" x14ac:dyDescent="0.3">
      <c r="A55" s="2" t="s">
        <v>23</v>
      </c>
      <c r="B55" s="2" t="s">
        <v>19</v>
      </c>
      <c r="C55" s="2">
        <v>34</v>
      </c>
      <c r="D55" s="3">
        <v>323.83</v>
      </c>
      <c r="E55" s="4">
        <v>45738</v>
      </c>
      <c r="F55" s="2" t="s">
        <v>24</v>
      </c>
      <c r="G55" s="3">
        <f t="shared" si="0"/>
        <v>11010.22</v>
      </c>
    </row>
    <row r="56" spans="1:7" x14ac:dyDescent="0.3">
      <c r="A56" s="2" t="s">
        <v>37</v>
      </c>
      <c r="B56" s="2" t="s">
        <v>34</v>
      </c>
      <c r="C56" s="2">
        <v>24</v>
      </c>
      <c r="D56" s="3">
        <v>256.39999999999998</v>
      </c>
      <c r="E56" s="4">
        <v>45741</v>
      </c>
      <c r="F56" s="2" t="s">
        <v>11</v>
      </c>
      <c r="G56" s="3">
        <f t="shared" si="0"/>
        <v>6153.5999999999995</v>
      </c>
    </row>
    <row r="57" spans="1:7" x14ac:dyDescent="0.3">
      <c r="A57" s="2" t="s">
        <v>30</v>
      </c>
      <c r="B57" s="2" t="s">
        <v>8</v>
      </c>
      <c r="C57" s="2">
        <v>16</v>
      </c>
      <c r="D57" s="3">
        <v>194.02</v>
      </c>
      <c r="E57" s="4">
        <v>45741</v>
      </c>
      <c r="F57" s="2" t="s">
        <v>31</v>
      </c>
      <c r="G57" s="3">
        <f t="shared" si="0"/>
        <v>3104.32</v>
      </c>
    </row>
    <row r="58" spans="1:7" x14ac:dyDescent="0.3">
      <c r="A58" s="2" t="s">
        <v>27</v>
      </c>
      <c r="B58" s="2" t="s">
        <v>19</v>
      </c>
      <c r="C58" s="2">
        <v>8</v>
      </c>
      <c r="D58" s="3">
        <v>741.95</v>
      </c>
      <c r="E58" s="4">
        <v>45741</v>
      </c>
      <c r="F58" s="2" t="s">
        <v>26</v>
      </c>
      <c r="G58" s="3">
        <f t="shared" si="0"/>
        <v>5935.6</v>
      </c>
    </row>
    <row r="59" spans="1:7" x14ac:dyDescent="0.3">
      <c r="A59" s="2" t="s">
        <v>28</v>
      </c>
      <c r="B59" s="2" t="s">
        <v>29</v>
      </c>
      <c r="C59" s="2">
        <v>36</v>
      </c>
      <c r="D59" s="3">
        <v>497.17</v>
      </c>
      <c r="E59" s="4">
        <v>45742</v>
      </c>
      <c r="F59" s="2" t="s">
        <v>26</v>
      </c>
      <c r="G59" s="3">
        <f t="shared" si="0"/>
        <v>17898.12</v>
      </c>
    </row>
    <row r="60" spans="1:7" x14ac:dyDescent="0.3">
      <c r="A60" s="2" t="s">
        <v>12</v>
      </c>
      <c r="B60" s="2" t="s">
        <v>13</v>
      </c>
      <c r="C60" s="2">
        <v>24</v>
      </c>
      <c r="D60" s="3">
        <v>395.55</v>
      </c>
      <c r="E60" s="4">
        <v>45743</v>
      </c>
      <c r="F60" s="2" t="s">
        <v>9</v>
      </c>
      <c r="G60" s="3">
        <f t="shared" si="0"/>
        <v>9493.2000000000007</v>
      </c>
    </row>
    <row r="61" spans="1:7" x14ac:dyDescent="0.3">
      <c r="A61" s="2" t="s">
        <v>45</v>
      </c>
      <c r="B61" s="2" t="s">
        <v>29</v>
      </c>
      <c r="C61" s="2">
        <v>17</v>
      </c>
      <c r="D61" s="3">
        <v>276.64</v>
      </c>
      <c r="E61" s="4">
        <v>45749</v>
      </c>
      <c r="F61" s="2" t="s">
        <v>9</v>
      </c>
      <c r="G61" s="3">
        <f t="shared" si="0"/>
        <v>4702.88</v>
      </c>
    </row>
    <row r="62" spans="1:7" x14ac:dyDescent="0.3">
      <c r="A62" s="2" t="s">
        <v>41</v>
      </c>
      <c r="B62" s="2" t="s">
        <v>34</v>
      </c>
      <c r="C62" s="2">
        <v>21</v>
      </c>
      <c r="D62" s="3">
        <v>324.27</v>
      </c>
      <c r="E62" s="4">
        <v>45751</v>
      </c>
      <c r="F62" s="2" t="s">
        <v>14</v>
      </c>
      <c r="G62" s="3">
        <f t="shared" si="0"/>
        <v>6809.67</v>
      </c>
    </row>
    <row r="63" spans="1:7" x14ac:dyDescent="0.3">
      <c r="A63" s="2" t="s">
        <v>37</v>
      </c>
      <c r="B63" s="2" t="s">
        <v>34</v>
      </c>
      <c r="C63" s="2">
        <v>21</v>
      </c>
      <c r="D63" s="3">
        <v>262.39</v>
      </c>
      <c r="E63" s="4">
        <v>45754</v>
      </c>
      <c r="F63" s="2" t="s">
        <v>22</v>
      </c>
      <c r="G63" s="3">
        <f t="shared" si="0"/>
        <v>5510.19</v>
      </c>
    </row>
    <row r="64" spans="1:7" x14ac:dyDescent="0.3">
      <c r="A64" s="2" t="s">
        <v>38</v>
      </c>
      <c r="B64" s="2" t="s">
        <v>21</v>
      </c>
      <c r="C64" s="2">
        <v>27</v>
      </c>
      <c r="D64" s="3">
        <v>336.64</v>
      </c>
      <c r="E64" s="4">
        <v>45755</v>
      </c>
      <c r="F64" s="2" t="s">
        <v>17</v>
      </c>
      <c r="G64" s="3">
        <f t="shared" si="0"/>
        <v>9089.2799999999988</v>
      </c>
    </row>
    <row r="65" spans="1:7" x14ac:dyDescent="0.3">
      <c r="A65" s="2" t="s">
        <v>45</v>
      </c>
      <c r="B65" s="2" t="s">
        <v>29</v>
      </c>
      <c r="C65" s="2">
        <v>37</v>
      </c>
      <c r="D65" s="3">
        <v>260.02</v>
      </c>
      <c r="E65" s="4">
        <v>45755</v>
      </c>
      <c r="F65" s="2" t="s">
        <v>26</v>
      </c>
      <c r="G65" s="3">
        <f t="shared" si="0"/>
        <v>9620.74</v>
      </c>
    </row>
    <row r="66" spans="1:7" x14ac:dyDescent="0.3">
      <c r="A66" s="2" t="s">
        <v>12</v>
      </c>
      <c r="B66" s="2" t="s">
        <v>13</v>
      </c>
      <c r="C66" s="2">
        <v>25</v>
      </c>
      <c r="D66" s="3">
        <v>388.23</v>
      </c>
      <c r="E66" s="4">
        <v>45755</v>
      </c>
      <c r="F66" s="2" t="s">
        <v>9</v>
      </c>
      <c r="G66" s="3">
        <f t="shared" ref="G66:G129" si="1">C66*D66</f>
        <v>9705.75</v>
      </c>
    </row>
    <row r="67" spans="1:7" x14ac:dyDescent="0.3">
      <c r="A67" s="2" t="s">
        <v>12</v>
      </c>
      <c r="B67" s="2" t="s">
        <v>13</v>
      </c>
      <c r="C67" s="2">
        <v>37</v>
      </c>
      <c r="D67" s="3">
        <v>381.47</v>
      </c>
      <c r="E67" s="4">
        <v>45757</v>
      </c>
      <c r="F67" s="2" t="s">
        <v>39</v>
      </c>
      <c r="G67" s="3">
        <f t="shared" si="1"/>
        <v>14114.390000000001</v>
      </c>
    </row>
    <row r="68" spans="1:7" x14ac:dyDescent="0.3">
      <c r="A68" s="2" t="s">
        <v>32</v>
      </c>
      <c r="B68" s="2" t="s">
        <v>13</v>
      </c>
      <c r="C68" s="2">
        <v>36</v>
      </c>
      <c r="D68" s="3">
        <v>555.26</v>
      </c>
      <c r="E68" s="4">
        <v>45759</v>
      </c>
      <c r="F68" s="2" t="s">
        <v>10</v>
      </c>
      <c r="G68" s="3">
        <f t="shared" si="1"/>
        <v>19989.36</v>
      </c>
    </row>
    <row r="69" spans="1:7" x14ac:dyDescent="0.3">
      <c r="A69" s="2" t="s">
        <v>35</v>
      </c>
      <c r="B69" s="2" t="s">
        <v>21</v>
      </c>
      <c r="C69" s="2">
        <v>22</v>
      </c>
      <c r="D69" s="3">
        <v>195.44</v>
      </c>
      <c r="E69" s="4">
        <v>45762</v>
      </c>
      <c r="F69" s="2" t="s">
        <v>26</v>
      </c>
      <c r="G69" s="3">
        <f t="shared" si="1"/>
        <v>4299.68</v>
      </c>
    </row>
    <row r="70" spans="1:7" x14ac:dyDescent="0.3">
      <c r="A70" s="2" t="s">
        <v>16</v>
      </c>
      <c r="B70" s="2" t="s">
        <v>13</v>
      </c>
      <c r="C70" s="2">
        <v>4</v>
      </c>
      <c r="D70" s="3">
        <v>454.76</v>
      </c>
      <c r="E70" s="4">
        <v>45763</v>
      </c>
      <c r="F70" s="2" t="s">
        <v>39</v>
      </c>
      <c r="G70" s="3">
        <f t="shared" si="1"/>
        <v>1819.04</v>
      </c>
    </row>
    <row r="71" spans="1:7" x14ac:dyDescent="0.3">
      <c r="A71" s="2" t="s">
        <v>27</v>
      </c>
      <c r="B71" s="2" t="s">
        <v>19</v>
      </c>
      <c r="C71" s="2">
        <v>7</v>
      </c>
      <c r="D71" s="3">
        <v>660.9</v>
      </c>
      <c r="E71" s="4">
        <v>45764</v>
      </c>
      <c r="F71" s="2" t="s">
        <v>22</v>
      </c>
      <c r="G71" s="3">
        <f t="shared" si="1"/>
        <v>4626.3</v>
      </c>
    </row>
    <row r="72" spans="1:7" x14ac:dyDescent="0.3">
      <c r="A72" s="2" t="s">
        <v>32</v>
      </c>
      <c r="B72" s="2" t="s">
        <v>13</v>
      </c>
      <c r="C72" s="2">
        <v>28</v>
      </c>
      <c r="D72" s="3">
        <v>574.24</v>
      </c>
      <c r="E72" s="4">
        <v>45766</v>
      </c>
      <c r="F72" s="2" t="s">
        <v>10</v>
      </c>
      <c r="G72" s="3">
        <f t="shared" si="1"/>
        <v>16078.720000000001</v>
      </c>
    </row>
    <row r="73" spans="1:7" x14ac:dyDescent="0.3">
      <c r="A73" s="2" t="s">
        <v>46</v>
      </c>
      <c r="B73" s="2" t="s">
        <v>34</v>
      </c>
      <c r="C73" s="2">
        <v>6</v>
      </c>
      <c r="D73" s="3">
        <v>391.19</v>
      </c>
      <c r="E73" s="4">
        <v>45769</v>
      </c>
      <c r="F73" s="2" t="s">
        <v>22</v>
      </c>
      <c r="G73" s="3">
        <f t="shared" si="1"/>
        <v>2347.14</v>
      </c>
    </row>
    <row r="74" spans="1:7" x14ac:dyDescent="0.3">
      <c r="A74" s="2" t="s">
        <v>12</v>
      </c>
      <c r="B74" s="2" t="s">
        <v>13</v>
      </c>
      <c r="C74" s="2">
        <v>36</v>
      </c>
      <c r="D74" s="3">
        <v>379.75</v>
      </c>
      <c r="E74" s="4">
        <v>45770</v>
      </c>
      <c r="F74" s="2" t="s">
        <v>11</v>
      </c>
      <c r="G74" s="3">
        <f t="shared" si="1"/>
        <v>13671</v>
      </c>
    </row>
    <row r="75" spans="1:7" x14ac:dyDescent="0.3">
      <c r="A75" s="2" t="s">
        <v>23</v>
      </c>
      <c r="B75" s="2" t="s">
        <v>19</v>
      </c>
      <c r="C75" s="2">
        <v>38</v>
      </c>
      <c r="D75" s="3">
        <v>327.04000000000002</v>
      </c>
      <c r="E75" s="4">
        <v>45770</v>
      </c>
      <c r="F75" s="2" t="s">
        <v>24</v>
      </c>
      <c r="G75" s="3">
        <f t="shared" si="1"/>
        <v>12427.52</v>
      </c>
    </row>
    <row r="76" spans="1:7" x14ac:dyDescent="0.3">
      <c r="A76" s="2" t="s">
        <v>27</v>
      </c>
      <c r="B76" s="2" t="s">
        <v>19</v>
      </c>
      <c r="C76" s="2">
        <v>32</v>
      </c>
      <c r="D76" s="3">
        <v>736.03</v>
      </c>
      <c r="E76" s="4">
        <v>45770</v>
      </c>
      <c r="F76" s="2" t="s">
        <v>26</v>
      </c>
      <c r="G76" s="3">
        <f t="shared" si="1"/>
        <v>23552.959999999999</v>
      </c>
    </row>
    <row r="77" spans="1:7" x14ac:dyDescent="0.3">
      <c r="A77" s="2" t="s">
        <v>42</v>
      </c>
      <c r="B77" s="2" t="s">
        <v>29</v>
      </c>
      <c r="C77" s="2">
        <v>23</v>
      </c>
      <c r="D77" s="3">
        <v>701.99</v>
      </c>
      <c r="E77" s="4">
        <v>45772</v>
      </c>
      <c r="F77" s="2" t="s">
        <v>17</v>
      </c>
      <c r="G77" s="3">
        <f t="shared" si="1"/>
        <v>16145.77</v>
      </c>
    </row>
    <row r="78" spans="1:7" x14ac:dyDescent="0.3">
      <c r="A78" s="2" t="s">
        <v>27</v>
      </c>
      <c r="B78" s="2" t="s">
        <v>19</v>
      </c>
      <c r="C78" s="2">
        <v>19</v>
      </c>
      <c r="D78" s="3">
        <v>661.64</v>
      </c>
      <c r="E78" s="4">
        <v>45774</v>
      </c>
      <c r="F78" s="2" t="s">
        <v>17</v>
      </c>
      <c r="G78" s="3">
        <f t="shared" si="1"/>
        <v>12571.16</v>
      </c>
    </row>
    <row r="79" spans="1:7" x14ac:dyDescent="0.3">
      <c r="A79" s="2" t="s">
        <v>44</v>
      </c>
      <c r="B79" s="2" t="s">
        <v>29</v>
      </c>
      <c r="C79" s="2">
        <v>4</v>
      </c>
      <c r="D79" s="3">
        <v>229.24</v>
      </c>
      <c r="E79" s="4">
        <v>45775</v>
      </c>
      <c r="F79" s="2" t="s">
        <v>17</v>
      </c>
      <c r="G79" s="3">
        <f t="shared" si="1"/>
        <v>916.96</v>
      </c>
    </row>
    <row r="80" spans="1:7" x14ac:dyDescent="0.3">
      <c r="A80" s="2" t="s">
        <v>7</v>
      </c>
      <c r="B80" s="2" t="s">
        <v>8</v>
      </c>
      <c r="C80" s="2">
        <v>6</v>
      </c>
      <c r="D80" s="3">
        <v>938.24</v>
      </c>
      <c r="E80" s="4">
        <v>45777</v>
      </c>
      <c r="F80" s="2" t="s">
        <v>17</v>
      </c>
      <c r="G80" s="3">
        <f t="shared" si="1"/>
        <v>5629.4400000000005</v>
      </c>
    </row>
    <row r="81" spans="1:7" x14ac:dyDescent="0.3">
      <c r="A81" s="2" t="s">
        <v>20</v>
      </c>
      <c r="B81" s="2" t="s">
        <v>21</v>
      </c>
      <c r="C81" s="2">
        <v>11</v>
      </c>
      <c r="D81" s="3">
        <v>290.04000000000002</v>
      </c>
      <c r="E81" s="4">
        <v>45780</v>
      </c>
      <c r="F81" s="2" t="s">
        <v>31</v>
      </c>
      <c r="G81" s="3">
        <f t="shared" si="1"/>
        <v>3190.44</v>
      </c>
    </row>
    <row r="82" spans="1:7" x14ac:dyDescent="0.3">
      <c r="A82" s="2" t="s">
        <v>45</v>
      </c>
      <c r="B82" s="2" t="s">
        <v>29</v>
      </c>
      <c r="C82" s="2">
        <v>39</v>
      </c>
      <c r="D82" s="3">
        <v>247.98</v>
      </c>
      <c r="E82" s="4">
        <v>45780</v>
      </c>
      <c r="F82" s="2" t="s">
        <v>31</v>
      </c>
      <c r="G82" s="3">
        <f t="shared" si="1"/>
        <v>9671.2199999999993</v>
      </c>
    </row>
    <row r="83" spans="1:7" x14ac:dyDescent="0.3">
      <c r="A83" s="2" t="s">
        <v>32</v>
      </c>
      <c r="B83" s="2" t="s">
        <v>13</v>
      </c>
      <c r="C83" s="2">
        <v>6</v>
      </c>
      <c r="D83" s="3">
        <v>579.54999999999995</v>
      </c>
      <c r="E83" s="4">
        <v>45781</v>
      </c>
      <c r="F83" s="2" t="s">
        <v>39</v>
      </c>
      <c r="G83" s="3">
        <f t="shared" si="1"/>
        <v>3477.2999999999997</v>
      </c>
    </row>
    <row r="84" spans="1:7" x14ac:dyDescent="0.3">
      <c r="A84" s="2" t="s">
        <v>18</v>
      </c>
      <c r="B84" s="2" t="s">
        <v>19</v>
      </c>
      <c r="C84" s="2">
        <v>18</v>
      </c>
      <c r="D84" s="3">
        <v>270.05</v>
      </c>
      <c r="E84" s="4">
        <v>45783</v>
      </c>
      <c r="F84" s="2" t="s">
        <v>22</v>
      </c>
      <c r="G84" s="3">
        <f t="shared" si="1"/>
        <v>4860.9000000000005</v>
      </c>
    </row>
    <row r="85" spans="1:7" x14ac:dyDescent="0.3">
      <c r="A85" s="2" t="s">
        <v>27</v>
      </c>
      <c r="B85" s="2" t="s">
        <v>19</v>
      </c>
      <c r="C85" s="2">
        <v>35</v>
      </c>
      <c r="D85" s="3">
        <v>712.46</v>
      </c>
      <c r="E85" s="4">
        <v>45783</v>
      </c>
      <c r="F85" s="2" t="s">
        <v>31</v>
      </c>
      <c r="G85" s="3">
        <f t="shared" si="1"/>
        <v>24936.100000000002</v>
      </c>
    </row>
    <row r="86" spans="1:7" x14ac:dyDescent="0.3">
      <c r="A86" s="2" t="s">
        <v>23</v>
      </c>
      <c r="B86" s="2" t="s">
        <v>19</v>
      </c>
      <c r="C86" s="2">
        <v>6</v>
      </c>
      <c r="D86" s="3">
        <v>343.48</v>
      </c>
      <c r="E86" s="4">
        <v>45785</v>
      </c>
      <c r="F86" s="2" t="s">
        <v>17</v>
      </c>
      <c r="G86" s="3">
        <f t="shared" si="1"/>
        <v>2060.88</v>
      </c>
    </row>
    <row r="87" spans="1:7" x14ac:dyDescent="0.3">
      <c r="A87" s="2" t="s">
        <v>27</v>
      </c>
      <c r="B87" s="2" t="s">
        <v>19</v>
      </c>
      <c r="C87" s="2">
        <v>34</v>
      </c>
      <c r="D87" s="3">
        <v>744.85</v>
      </c>
      <c r="E87" s="4">
        <v>45786</v>
      </c>
      <c r="F87" s="2" t="s">
        <v>10</v>
      </c>
      <c r="G87" s="3">
        <f t="shared" si="1"/>
        <v>25324.9</v>
      </c>
    </row>
    <row r="88" spans="1:7" x14ac:dyDescent="0.3">
      <c r="A88" s="2" t="s">
        <v>46</v>
      </c>
      <c r="B88" s="2" t="s">
        <v>34</v>
      </c>
      <c r="C88" s="2">
        <v>1</v>
      </c>
      <c r="D88" s="3">
        <v>397.93</v>
      </c>
      <c r="E88" s="4">
        <v>45792</v>
      </c>
      <c r="F88" s="2" t="s">
        <v>10</v>
      </c>
      <c r="G88" s="3">
        <f t="shared" si="1"/>
        <v>397.93</v>
      </c>
    </row>
    <row r="89" spans="1:7" x14ac:dyDescent="0.3">
      <c r="A89" s="2" t="s">
        <v>37</v>
      </c>
      <c r="B89" s="2" t="s">
        <v>34</v>
      </c>
      <c r="C89" s="2">
        <v>25</v>
      </c>
      <c r="D89" s="3">
        <v>247.07</v>
      </c>
      <c r="E89" s="4">
        <v>45793</v>
      </c>
      <c r="F89" s="2" t="s">
        <v>14</v>
      </c>
      <c r="G89" s="3">
        <f t="shared" si="1"/>
        <v>6176.75</v>
      </c>
    </row>
    <row r="90" spans="1:7" x14ac:dyDescent="0.3">
      <c r="A90" s="2" t="s">
        <v>46</v>
      </c>
      <c r="B90" s="2" t="s">
        <v>34</v>
      </c>
      <c r="C90" s="2">
        <v>38</v>
      </c>
      <c r="D90" s="3">
        <v>433.51</v>
      </c>
      <c r="E90" s="4">
        <v>45795</v>
      </c>
      <c r="F90" s="2" t="s">
        <v>11</v>
      </c>
      <c r="G90" s="3">
        <f t="shared" si="1"/>
        <v>16473.38</v>
      </c>
    </row>
    <row r="91" spans="1:7" x14ac:dyDescent="0.3">
      <c r="A91" s="2" t="s">
        <v>43</v>
      </c>
      <c r="B91" s="2" t="s">
        <v>29</v>
      </c>
      <c r="C91" s="2">
        <v>31</v>
      </c>
      <c r="D91" s="3">
        <v>146.72</v>
      </c>
      <c r="E91" s="4">
        <v>45799</v>
      </c>
      <c r="F91" s="2" t="s">
        <v>9</v>
      </c>
      <c r="G91" s="3">
        <f t="shared" si="1"/>
        <v>4548.32</v>
      </c>
    </row>
    <row r="92" spans="1:7" x14ac:dyDescent="0.3">
      <c r="A92" s="2" t="s">
        <v>46</v>
      </c>
      <c r="B92" s="2" t="s">
        <v>34</v>
      </c>
      <c r="C92" s="2">
        <v>38</v>
      </c>
      <c r="D92" s="3">
        <v>401.25</v>
      </c>
      <c r="E92" s="4">
        <v>45800</v>
      </c>
      <c r="F92" s="2" t="s">
        <v>24</v>
      </c>
      <c r="G92" s="3">
        <f t="shared" si="1"/>
        <v>15247.5</v>
      </c>
    </row>
    <row r="93" spans="1:7" x14ac:dyDescent="0.3">
      <c r="A93" s="2" t="s">
        <v>12</v>
      </c>
      <c r="B93" s="2" t="s">
        <v>13</v>
      </c>
      <c r="C93" s="2">
        <v>25</v>
      </c>
      <c r="D93" s="3">
        <v>377.15</v>
      </c>
      <c r="E93" s="4">
        <v>45800</v>
      </c>
      <c r="F93" s="2" t="s">
        <v>39</v>
      </c>
      <c r="G93" s="3">
        <f t="shared" si="1"/>
        <v>9428.75</v>
      </c>
    </row>
    <row r="94" spans="1:7" x14ac:dyDescent="0.3">
      <c r="A94" s="2" t="s">
        <v>38</v>
      </c>
      <c r="B94" s="2" t="s">
        <v>21</v>
      </c>
      <c r="C94" s="2">
        <v>6</v>
      </c>
      <c r="D94" s="3">
        <v>338.56</v>
      </c>
      <c r="E94" s="4">
        <v>45800</v>
      </c>
      <c r="F94" s="2" t="s">
        <v>14</v>
      </c>
      <c r="G94" s="3">
        <f t="shared" si="1"/>
        <v>2031.3600000000001</v>
      </c>
    </row>
    <row r="95" spans="1:7" x14ac:dyDescent="0.3">
      <c r="A95" s="2" t="s">
        <v>30</v>
      </c>
      <c r="B95" s="2" t="s">
        <v>8</v>
      </c>
      <c r="C95" s="2">
        <v>6</v>
      </c>
      <c r="D95" s="3">
        <v>194.41</v>
      </c>
      <c r="E95" s="4">
        <v>45803</v>
      </c>
      <c r="F95" s="2" t="s">
        <v>10</v>
      </c>
      <c r="G95" s="3">
        <f t="shared" si="1"/>
        <v>1166.46</v>
      </c>
    </row>
    <row r="96" spans="1:7" x14ac:dyDescent="0.3">
      <c r="A96" s="2" t="s">
        <v>45</v>
      </c>
      <c r="B96" s="2" t="s">
        <v>29</v>
      </c>
      <c r="C96" s="2">
        <v>37</v>
      </c>
      <c r="D96" s="3">
        <v>276.5</v>
      </c>
      <c r="E96" s="4">
        <v>45803</v>
      </c>
      <c r="F96" s="2" t="s">
        <v>14</v>
      </c>
      <c r="G96" s="3">
        <f t="shared" si="1"/>
        <v>10230.5</v>
      </c>
    </row>
    <row r="97" spans="1:7" x14ac:dyDescent="0.3">
      <c r="A97" s="2" t="s">
        <v>35</v>
      </c>
      <c r="B97" s="2" t="s">
        <v>21</v>
      </c>
      <c r="C97" s="2">
        <v>37</v>
      </c>
      <c r="D97" s="3">
        <v>195.2</v>
      </c>
      <c r="E97" s="4">
        <v>45805</v>
      </c>
      <c r="F97" s="2" t="s">
        <v>14</v>
      </c>
      <c r="G97" s="3">
        <f t="shared" si="1"/>
        <v>7222.4</v>
      </c>
    </row>
    <row r="98" spans="1:7" x14ac:dyDescent="0.3">
      <c r="A98" s="2" t="s">
        <v>18</v>
      </c>
      <c r="B98" s="2" t="s">
        <v>19</v>
      </c>
      <c r="C98" s="2">
        <v>32</v>
      </c>
      <c r="D98" s="3">
        <v>296.29000000000002</v>
      </c>
      <c r="E98" s="4">
        <v>45807</v>
      </c>
      <c r="F98" s="2" t="s">
        <v>10</v>
      </c>
      <c r="G98" s="3">
        <f t="shared" si="1"/>
        <v>9481.2800000000007</v>
      </c>
    </row>
    <row r="99" spans="1:7" x14ac:dyDescent="0.3">
      <c r="A99" s="2" t="s">
        <v>20</v>
      </c>
      <c r="B99" s="2" t="s">
        <v>21</v>
      </c>
      <c r="C99" s="2">
        <v>19</v>
      </c>
      <c r="D99" s="3">
        <v>295.87</v>
      </c>
      <c r="E99" s="4">
        <v>45810</v>
      </c>
      <c r="F99" s="2" t="s">
        <v>9</v>
      </c>
      <c r="G99" s="3">
        <f t="shared" si="1"/>
        <v>5621.53</v>
      </c>
    </row>
    <row r="100" spans="1:7" x14ac:dyDescent="0.3">
      <c r="A100" s="2" t="s">
        <v>35</v>
      </c>
      <c r="B100" s="2" t="s">
        <v>21</v>
      </c>
      <c r="C100" s="2">
        <v>12</v>
      </c>
      <c r="D100" s="3">
        <v>186.12</v>
      </c>
      <c r="E100" s="4">
        <v>45812</v>
      </c>
      <c r="F100" s="2" t="s">
        <v>24</v>
      </c>
      <c r="G100" s="3">
        <f t="shared" si="1"/>
        <v>2233.44</v>
      </c>
    </row>
    <row r="101" spans="1:7" x14ac:dyDescent="0.3">
      <c r="A101" s="2" t="s">
        <v>35</v>
      </c>
      <c r="B101" s="2" t="s">
        <v>21</v>
      </c>
      <c r="C101" s="2">
        <v>1</v>
      </c>
      <c r="D101" s="3">
        <v>190.53</v>
      </c>
      <c r="E101" s="4">
        <v>45813</v>
      </c>
      <c r="F101" s="2" t="s">
        <v>26</v>
      </c>
      <c r="G101" s="3">
        <f t="shared" si="1"/>
        <v>190.53</v>
      </c>
    </row>
    <row r="102" spans="1:7" x14ac:dyDescent="0.3">
      <c r="A102" s="2" t="s">
        <v>35</v>
      </c>
      <c r="B102" s="2" t="s">
        <v>21</v>
      </c>
      <c r="C102" s="2">
        <v>16</v>
      </c>
      <c r="D102" s="3">
        <v>185.97</v>
      </c>
      <c r="E102" s="4">
        <v>45814</v>
      </c>
      <c r="F102" s="2" t="s">
        <v>9</v>
      </c>
      <c r="G102" s="3">
        <f t="shared" si="1"/>
        <v>2975.52</v>
      </c>
    </row>
    <row r="103" spans="1:7" x14ac:dyDescent="0.3">
      <c r="A103" s="2" t="s">
        <v>35</v>
      </c>
      <c r="B103" s="2" t="s">
        <v>21</v>
      </c>
      <c r="C103" s="2">
        <v>28</v>
      </c>
      <c r="D103" s="3">
        <v>201.75</v>
      </c>
      <c r="E103" s="4">
        <v>45814</v>
      </c>
      <c r="F103" s="2" t="s">
        <v>9</v>
      </c>
      <c r="G103" s="3">
        <f t="shared" si="1"/>
        <v>5649</v>
      </c>
    </row>
    <row r="104" spans="1:7" x14ac:dyDescent="0.3">
      <c r="A104" s="2" t="s">
        <v>28</v>
      </c>
      <c r="B104" s="2" t="s">
        <v>29</v>
      </c>
      <c r="C104" s="2">
        <v>3</v>
      </c>
      <c r="D104" s="3">
        <v>482.82</v>
      </c>
      <c r="E104" s="4">
        <v>45815</v>
      </c>
      <c r="F104" s="2" t="s">
        <v>11</v>
      </c>
      <c r="G104" s="3">
        <f t="shared" si="1"/>
        <v>1448.46</v>
      </c>
    </row>
    <row r="105" spans="1:7" x14ac:dyDescent="0.3">
      <c r="A105" s="2" t="s">
        <v>7</v>
      </c>
      <c r="B105" s="2" t="s">
        <v>8</v>
      </c>
      <c r="C105" s="2">
        <v>13</v>
      </c>
      <c r="D105" s="3">
        <v>992.65</v>
      </c>
      <c r="E105" s="4">
        <v>45817</v>
      </c>
      <c r="F105" s="2" t="s">
        <v>39</v>
      </c>
      <c r="G105" s="3">
        <f t="shared" si="1"/>
        <v>12904.449999999999</v>
      </c>
    </row>
    <row r="106" spans="1:7" x14ac:dyDescent="0.3">
      <c r="A106" s="2" t="s">
        <v>27</v>
      </c>
      <c r="B106" s="2" t="s">
        <v>19</v>
      </c>
      <c r="C106" s="2">
        <v>28</v>
      </c>
      <c r="D106" s="3">
        <v>659.08</v>
      </c>
      <c r="E106" s="4">
        <v>45823</v>
      </c>
      <c r="F106" s="2" t="s">
        <v>9</v>
      </c>
      <c r="G106" s="3">
        <f t="shared" si="1"/>
        <v>18454.240000000002</v>
      </c>
    </row>
    <row r="107" spans="1:7" x14ac:dyDescent="0.3">
      <c r="A107" s="2" t="s">
        <v>12</v>
      </c>
      <c r="B107" s="2" t="s">
        <v>13</v>
      </c>
      <c r="C107" s="2">
        <v>17</v>
      </c>
      <c r="D107" s="3">
        <v>365.35</v>
      </c>
      <c r="E107" s="4">
        <v>45823</v>
      </c>
      <c r="F107" s="2" t="s">
        <v>17</v>
      </c>
      <c r="G107" s="3">
        <f t="shared" si="1"/>
        <v>6210.9500000000007</v>
      </c>
    </row>
    <row r="108" spans="1:7" x14ac:dyDescent="0.3">
      <c r="A108" s="2" t="s">
        <v>36</v>
      </c>
      <c r="B108" s="2" t="s">
        <v>29</v>
      </c>
      <c r="C108" s="2">
        <v>25</v>
      </c>
      <c r="D108" s="3">
        <v>851.32</v>
      </c>
      <c r="E108" s="4">
        <v>45825</v>
      </c>
      <c r="F108" s="2" t="s">
        <v>22</v>
      </c>
      <c r="G108" s="3">
        <f t="shared" si="1"/>
        <v>21283</v>
      </c>
    </row>
    <row r="109" spans="1:7" x14ac:dyDescent="0.3">
      <c r="A109" s="2" t="s">
        <v>40</v>
      </c>
      <c r="B109" s="2" t="s">
        <v>19</v>
      </c>
      <c r="C109" s="2">
        <v>11</v>
      </c>
      <c r="D109" s="3">
        <v>337.26</v>
      </c>
      <c r="E109" s="4">
        <v>45826</v>
      </c>
      <c r="F109" s="2" t="s">
        <v>39</v>
      </c>
      <c r="G109" s="3">
        <f t="shared" si="1"/>
        <v>3709.8599999999997</v>
      </c>
    </row>
    <row r="110" spans="1:7" x14ac:dyDescent="0.3">
      <c r="A110" s="2" t="s">
        <v>15</v>
      </c>
      <c r="B110" s="2" t="s">
        <v>8</v>
      </c>
      <c r="C110" s="2">
        <v>6</v>
      </c>
      <c r="D110" s="3">
        <v>150.25</v>
      </c>
      <c r="E110" s="4">
        <v>45826</v>
      </c>
      <c r="F110" s="2" t="s">
        <v>10</v>
      </c>
      <c r="G110" s="3">
        <f t="shared" si="1"/>
        <v>901.5</v>
      </c>
    </row>
    <row r="111" spans="1:7" x14ac:dyDescent="0.3">
      <c r="A111" s="2" t="s">
        <v>37</v>
      </c>
      <c r="B111" s="2" t="s">
        <v>34</v>
      </c>
      <c r="C111" s="2">
        <v>35</v>
      </c>
      <c r="D111" s="3">
        <v>269.97000000000003</v>
      </c>
      <c r="E111" s="4">
        <v>45827</v>
      </c>
      <c r="F111" s="2" t="s">
        <v>24</v>
      </c>
      <c r="G111" s="3">
        <f t="shared" si="1"/>
        <v>9448.9500000000007</v>
      </c>
    </row>
    <row r="112" spans="1:7" x14ac:dyDescent="0.3">
      <c r="A112" s="2" t="s">
        <v>44</v>
      </c>
      <c r="B112" s="2" t="s">
        <v>29</v>
      </c>
      <c r="C112" s="2">
        <v>27</v>
      </c>
      <c r="D112" s="3">
        <v>222.44</v>
      </c>
      <c r="E112" s="4">
        <v>45828</v>
      </c>
      <c r="F112" s="2" t="s">
        <v>11</v>
      </c>
      <c r="G112" s="3">
        <f t="shared" si="1"/>
        <v>6005.88</v>
      </c>
    </row>
    <row r="113" spans="1:7" x14ac:dyDescent="0.3">
      <c r="A113" s="2" t="s">
        <v>46</v>
      </c>
      <c r="B113" s="2" t="s">
        <v>34</v>
      </c>
      <c r="C113" s="2">
        <v>25</v>
      </c>
      <c r="D113" s="3">
        <v>415.38</v>
      </c>
      <c r="E113" s="4">
        <v>45830</v>
      </c>
      <c r="F113" s="2" t="s">
        <v>39</v>
      </c>
      <c r="G113" s="3">
        <f t="shared" si="1"/>
        <v>10384.5</v>
      </c>
    </row>
    <row r="114" spans="1:7" x14ac:dyDescent="0.3">
      <c r="A114" s="2" t="s">
        <v>45</v>
      </c>
      <c r="B114" s="2" t="s">
        <v>29</v>
      </c>
      <c r="C114" s="2">
        <v>5</v>
      </c>
      <c r="D114" s="3">
        <v>255.38</v>
      </c>
      <c r="E114" s="4">
        <v>45831</v>
      </c>
      <c r="F114" s="2" t="s">
        <v>24</v>
      </c>
      <c r="G114" s="3">
        <f t="shared" si="1"/>
        <v>1276.9000000000001</v>
      </c>
    </row>
    <row r="115" spans="1:7" x14ac:dyDescent="0.3">
      <c r="A115" s="2" t="s">
        <v>44</v>
      </c>
      <c r="B115" s="2" t="s">
        <v>29</v>
      </c>
      <c r="C115" s="2">
        <v>17</v>
      </c>
      <c r="D115" s="3">
        <v>222.43</v>
      </c>
      <c r="E115" s="4">
        <v>45831</v>
      </c>
      <c r="F115" s="2" t="s">
        <v>9</v>
      </c>
      <c r="G115" s="3">
        <f t="shared" si="1"/>
        <v>3781.31</v>
      </c>
    </row>
    <row r="116" spans="1:7" x14ac:dyDescent="0.3">
      <c r="A116" s="2" t="s">
        <v>7</v>
      </c>
      <c r="B116" s="2" t="s">
        <v>8</v>
      </c>
      <c r="C116" s="2">
        <v>28</v>
      </c>
      <c r="D116" s="3">
        <v>1002.02</v>
      </c>
      <c r="E116" s="4">
        <v>45832</v>
      </c>
      <c r="F116" s="2" t="s">
        <v>26</v>
      </c>
      <c r="G116" s="3">
        <f t="shared" si="1"/>
        <v>28056.559999999998</v>
      </c>
    </row>
    <row r="117" spans="1:7" x14ac:dyDescent="0.3">
      <c r="A117" s="2" t="s">
        <v>43</v>
      </c>
      <c r="B117" s="2" t="s">
        <v>29</v>
      </c>
      <c r="C117" s="2">
        <v>17</v>
      </c>
      <c r="D117" s="3">
        <v>149.41999999999999</v>
      </c>
      <c r="E117" s="4">
        <v>45832</v>
      </c>
      <c r="F117" s="2" t="s">
        <v>26</v>
      </c>
      <c r="G117" s="3">
        <f t="shared" si="1"/>
        <v>2540.14</v>
      </c>
    </row>
    <row r="118" spans="1:7" x14ac:dyDescent="0.3">
      <c r="A118" s="2" t="s">
        <v>7</v>
      </c>
      <c r="B118" s="2" t="s">
        <v>8</v>
      </c>
      <c r="C118" s="2">
        <v>27</v>
      </c>
      <c r="D118" s="3">
        <v>1000.07</v>
      </c>
      <c r="E118" s="4">
        <v>45832</v>
      </c>
      <c r="F118" s="2" t="s">
        <v>10</v>
      </c>
      <c r="G118" s="3">
        <f t="shared" si="1"/>
        <v>27001.890000000003</v>
      </c>
    </row>
    <row r="119" spans="1:7" x14ac:dyDescent="0.3">
      <c r="A119" s="2" t="s">
        <v>33</v>
      </c>
      <c r="B119" s="2" t="s">
        <v>34</v>
      </c>
      <c r="C119" s="2">
        <v>34</v>
      </c>
      <c r="D119" s="3">
        <v>91.04</v>
      </c>
      <c r="E119" s="4">
        <v>45834</v>
      </c>
      <c r="F119" s="2" t="s">
        <v>39</v>
      </c>
      <c r="G119" s="3">
        <f t="shared" si="1"/>
        <v>3095.36</v>
      </c>
    </row>
    <row r="120" spans="1:7" x14ac:dyDescent="0.3">
      <c r="A120" s="2" t="s">
        <v>43</v>
      </c>
      <c r="B120" s="2" t="s">
        <v>29</v>
      </c>
      <c r="C120" s="2">
        <v>9</v>
      </c>
      <c r="D120" s="3">
        <v>152.36000000000001</v>
      </c>
      <c r="E120" s="4">
        <v>45836</v>
      </c>
      <c r="F120" s="2" t="s">
        <v>17</v>
      </c>
      <c r="G120" s="3">
        <f t="shared" si="1"/>
        <v>1371.2400000000002</v>
      </c>
    </row>
    <row r="121" spans="1:7" x14ac:dyDescent="0.3">
      <c r="A121" s="2" t="s">
        <v>25</v>
      </c>
      <c r="B121" s="2" t="s">
        <v>13</v>
      </c>
      <c r="C121" s="2">
        <v>30</v>
      </c>
      <c r="D121" s="3">
        <v>606.92999999999995</v>
      </c>
      <c r="E121" s="4">
        <v>45837</v>
      </c>
      <c r="F121" s="2" t="s">
        <v>26</v>
      </c>
      <c r="G121" s="3">
        <f t="shared" si="1"/>
        <v>18207.899999999998</v>
      </c>
    </row>
    <row r="122" spans="1:7" x14ac:dyDescent="0.3">
      <c r="A122" s="2" t="s">
        <v>20</v>
      </c>
      <c r="B122" s="2" t="s">
        <v>21</v>
      </c>
      <c r="C122" s="2">
        <v>18</v>
      </c>
      <c r="D122" s="3">
        <v>297.45999999999998</v>
      </c>
      <c r="E122" s="4">
        <v>45837</v>
      </c>
      <c r="F122" s="2" t="s">
        <v>10</v>
      </c>
      <c r="G122" s="3">
        <f t="shared" si="1"/>
        <v>5354.28</v>
      </c>
    </row>
    <row r="123" spans="1:7" x14ac:dyDescent="0.3">
      <c r="A123" s="2" t="s">
        <v>44</v>
      </c>
      <c r="B123" s="2" t="s">
        <v>29</v>
      </c>
      <c r="C123" s="2">
        <v>40</v>
      </c>
      <c r="D123" s="3">
        <v>224.79</v>
      </c>
      <c r="E123" s="4">
        <v>45843</v>
      </c>
      <c r="F123" s="2" t="s">
        <v>9</v>
      </c>
      <c r="G123" s="3">
        <f t="shared" si="1"/>
        <v>8991.6</v>
      </c>
    </row>
    <row r="124" spans="1:7" x14ac:dyDescent="0.3">
      <c r="A124" s="2" t="s">
        <v>41</v>
      </c>
      <c r="B124" s="2" t="s">
        <v>34</v>
      </c>
      <c r="C124" s="2">
        <v>8</v>
      </c>
      <c r="D124" s="3">
        <v>344.6</v>
      </c>
      <c r="E124" s="4">
        <v>45843</v>
      </c>
      <c r="F124" s="2" t="s">
        <v>26</v>
      </c>
      <c r="G124" s="3">
        <f t="shared" si="1"/>
        <v>2756.8</v>
      </c>
    </row>
    <row r="125" spans="1:7" x14ac:dyDescent="0.3">
      <c r="A125" s="2" t="s">
        <v>40</v>
      </c>
      <c r="B125" s="2" t="s">
        <v>19</v>
      </c>
      <c r="C125" s="2">
        <v>13</v>
      </c>
      <c r="D125" s="3">
        <v>365.23</v>
      </c>
      <c r="E125" s="4">
        <v>45844</v>
      </c>
      <c r="F125" s="2" t="s">
        <v>39</v>
      </c>
      <c r="G125" s="3">
        <f t="shared" si="1"/>
        <v>4747.99</v>
      </c>
    </row>
    <row r="126" spans="1:7" x14ac:dyDescent="0.3">
      <c r="A126" s="2" t="s">
        <v>20</v>
      </c>
      <c r="B126" s="2" t="s">
        <v>21</v>
      </c>
      <c r="C126" s="2">
        <v>7</v>
      </c>
      <c r="D126" s="3">
        <v>271.79000000000002</v>
      </c>
      <c r="E126" s="4">
        <v>45853</v>
      </c>
      <c r="F126" s="2" t="s">
        <v>24</v>
      </c>
      <c r="G126" s="3">
        <f t="shared" si="1"/>
        <v>1902.5300000000002</v>
      </c>
    </row>
    <row r="127" spans="1:7" x14ac:dyDescent="0.3">
      <c r="A127" s="2" t="s">
        <v>40</v>
      </c>
      <c r="B127" s="2" t="s">
        <v>19</v>
      </c>
      <c r="C127" s="2">
        <v>5</v>
      </c>
      <c r="D127" s="3">
        <v>351.71</v>
      </c>
      <c r="E127" s="4">
        <v>45855</v>
      </c>
      <c r="F127" s="2" t="s">
        <v>39</v>
      </c>
      <c r="G127" s="3">
        <f t="shared" si="1"/>
        <v>1758.55</v>
      </c>
    </row>
    <row r="128" spans="1:7" x14ac:dyDescent="0.3">
      <c r="A128" s="2" t="s">
        <v>30</v>
      </c>
      <c r="B128" s="2" t="s">
        <v>8</v>
      </c>
      <c r="C128" s="2">
        <v>25</v>
      </c>
      <c r="D128" s="3">
        <v>202.3</v>
      </c>
      <c r="E128" s="4">
        <v>45855</v>
      </c>
      <c r="F128" s="2" t="s">
        <v>31</v>
      </c>
      <c r="G128" s="3">
        <f t="shared" si="1"/>
        <v>5057.5</v>
      </c>
    </row>
    <row r="129" spans="1:7" x14ac:dyDescent="0.3">
      <c r="A129" s="2" t="s">
        <v>38</v>
      </c>
      <c r="B129" s="2" t="s">
        <v>21</v>
      </c>
      <c r="C129" s="2">
        <v>13</v>
      </c>
      <c r="D129" s="3">
        <v>313.27</v>
      </c>
      <c r="E129" s="4">
        <v>45862</v>
      </c>
      <c r="F129" s="2" t="s">
        <v>11</v>
      </c>
      <c r="G129" s="3">
        <f t="shared" si="1"/>
        <v>4072.5099999999998</v>
      </c>
    </row>
    <row r="130" spans="1:7" x14ac:dyDescent="0.3">
      <c r="A130" s="2" t="s">
        <v>25</v>
      </c>
      <c r="B130" s="2" t="s">
        <v>13</v>
      </c>
      <c r="C130" s="2">
        <v>5</v>
      </c>
      <c r="D130" s="3">
        <v>598.20000000000005</v>
      </c>
      <c r="E130" s="4">
        <v>45863</v>
      </c>
      <c r="F130" s="2" t="s">
        <v>14</v>
      </c>
      <c r="G130" s="3">
        <f t="shared" ref="G130:G193" si="2">C130*D130</f>
        <v>2991</v>
      </c>
    </row>
    <row r="131" spans="1:7" x14ac:dyDescent="0.3">
      <c r="A131" s="2" t="s">
        <v>44</v>
      </c>
      <c r="B131" s="2" t="s">
        <v>29</v>
      </c>
      <c r="C131" s="2">
        <v>16</v>
      </c>
      <c r="D131" s="3">
        <v>228.31</v>
      </c>
      <c r="E131" s="4">
        <v>45864</v>
      </c>
      <c r="F131" s="2" t="s">
        <v>17</v>
      </c>
      <c r="G131" s="3">
        <f t="shared" si="2"/>
        <v>3652.96</v>
      </c>
    </row>
    <row r="132" spans="1:7" x14ac:dyDescent="0.3">
      <c r="A132" s="2" t="s">
        <v>7</v>
      </c>
      <c r="B132" s="2" t="s">
        <v>8</v>
      </c>
      <c r="C132" s="2">
        <v>11</v>
      </c>
      <c r="D132" s="3">
        <v>1007.31</v>
      </c>
      <c r="E132" s="4">
        <v>45866</v>
      </c>
      <c r="F132" s="2" t="s">
        <v>14</v>
      </c>
      <c r="G132" s="3">
        <f t="shared" si="2"/>
        <v>11080.41</v>
      </c>
    </row>
    <row r="133" spans="1:7" x14ac:dyDescent="0.3">
      <c r="A133" s="2" t="s">
        <v>40</v>
      </c>
      <c r="B133" s="2" t="s">
        <v>19</v>
      </c>
      <c r="C133" s="2">
        <v>36</v>
      </c>
      <c r="D133" s="3">
        <v>337.18</v>
      </c>
      <c r="E133" s="4">
        <v>45866</v>
      </c>
      <c r="F133" s="2" t="s">
        <v>9</v>
      </c>
      <c r="G133" s="3">
        <f t="shared" si="2"/>
        <v>12138.48</v>
      </c>
    </row>
    <row r="134" spans="1:7" x14ac:dyDescent="0.3">
      <c r="A134" s="2" t="s">
        <v>15</v>
      </c>
      <c r="B134" s="2" t="s">
        <v>8</v>
      </c>
      <c r="C134" s="2">
        <v>27</v>
      </c>
      <c r="D134" s="3">
        <v>146.66999999999999</v>
      </c>
      <c r="E134" s="4">
        <v>45866</v>
      </c>
      <c r="F134" s="2" t="s">
        <v>11</v>
      </c>
      <c r="G134" s="3">
        <f t="shared" si="2"/>
        <v>3960.0899999999997</v>
      </c>
    </row>
    <row r="135" spans="1:7" x14ac:dyDescent="0.3">
      <c r="A135" s="2" t="s">
        <v>35</v>
      </c>
      <c r="B135" s="2" t="s">
        <v>21</v>
      </c>
      <c r="C135" s="2">
        <v>36</v>
      </c>
      <c r="D135" s="3">
        <v>194.11</v>
      </c>
      <c r="E135" s="4">
        <v>45866</v>
      </c>
      <c r="F135" s="2" t="s">
        <v>17</v>
      </c>
      <c r="G135" s="3">
        <f t="shared" si="2"/>
        <v>6987.9600000000009</v>
      </c>
    </row>
    <row r="136" spans="1:7" x14ac:dyDescent="0.3">
      <c r="A136" s="2" t="s">
        <v>16</v>
      </c>
      <c r="B136" s="2" t="s">
        <v>13</v>
      </c>
      <c r="C136" s="2">
        <v>1</v>
      </c>
      <c r="D136" s="3">
        <v>431.89</v>
      </c>
      <c r="E136" s="4">
        <v>45867</v>
      </c>
      <c r="F136" s="2" t="s">
        <v>14</v>
      </c>
      <c r="G136" s="3">
        <f t="shared" si="2"/>
        <v>431.89</v>
      </c>
    </row>
    <row r="137" spans="1:7" x14ac:dyDescent="0.3">
      <c r="A137" s="2" t="s">
        <v>12</v>
      </c>
      <c r="B137" s="2" t="s">
        <v>13</v>
      </c>
      <c r="C137" s="2">
        <v>10</v>
      </c>
      <c r="D137" s="3">
        <v>361.76</v>
      </c>
      <c r="E137" s="4">
        <v>45867</v>
      </c>
      <c r="F137" s="2" t="s">
        <v>31</v>
      </c>
      <c r="G137" s="3">
        <f t="shared" si="2"/>
        <v>3617.6</v>
      </c>
    </row>
    <row r="138" spans="1:7" x14ac:dyDescent="0.3">
      <c r="A138" s="2" t="s">
        <v>46</v>
      </c>
      <c r="B138" s="2" t="s">
        <v>34</v>
      </c>
      <c r="C138" s="2">
        <v>22</v>
      </c>
      <c r="D138" s="3">
        <v>390.82</v>
      </c>
      <c r="E138" s="4">
        <v>45868</v>
      </c>
      <c r="F138" s="2" t="s">
        <v>22</v>
      </c>
      <c r="G138" s="3">
        <f t="shared" si="2"/>
        <v>8598.0399999999991</v>
      </c>
    </row>
    <row r="139" spans="1:7" x14ac:dyDescent="0.3">
      <c r="A139" s="2" t="s">
        <v>45</v>
      </c>
      <c r="B139" s="2" t="s">
        <v>29</v>
      </c>
      <c r="C139" s="2">
        <v>23</v>
      </c>
      <c r="D139" s="3">
        <v>269.27</v>
      </c>
      <c r="E139" s="4">
        <v>45874</v>
      </c>
      <c r="F139" s="2" t="s">
        <v>39</v>
      </c>
      <c r="G139" s="3">
        <f t="shared" si="2"/>
        <v>6193.2099999999991</v>
      </c>
    </row>
    <row r="140" spans="1:7" x14ac:dyDescent="0.3">
      <c r="A140" s="2" t="s">
        <v>7</v>
      </c>
      <c r="B140" s="2" t="s">
        <v>8</v>
      </c>
      <c r="C140" s="2">
        <v>7</v>
      </c>
      <c r="D140" s="3">
        <v>1008.76</v>
      </c>
      <c r="E140" s="4">
        <v>45875</v>
      </c>
      <c r="F140" s="2" t="s">
        <v>22</v>
      </c>
      <c r="G140" s="3">
        <f t="shared" si="2"/>
        <v>7061.32</v>
      </c>
    </row>
    <row r="141" spans="1:7" x14ac:dyDescent="0.3">
      <c r="A141" s="2" t="s">
        <v>42</v>
      </c>
      <c r="B141" s="2" t="s">
        <v>29</v>
      </c>
      <c r="C141" s="2">
        <v>24</v>
      </c>
      <c r="D141" s="3">
        <v>642.29</v>
      </c>
      <c r="E141" s="4">
        <v>45878</v>
      </c>
      <c r="F141" s="2" t="s">
        <v>31</v>
      </c>
      <c r="G141" s="3">
        <f t="shared" si="2"/>
        <v>15414.96</v>
      </c>
    </row>
    <row r="142" spans="1:7" x14ac:dyDescent="0.3">
      <c r="A142" s="2" t="s">
        <v>20</v>
      </c>
      <c r="B142" s="2" t="s">
        <v>21</v>
      </c>
      <c r="C142" s="2">
        <v>39</v>
      </c>
      <c r="D142" s="3">
        <v>267.39</v>
      </c>
      <c r="E142" s="4">
        <v>45880</v>
      </c>
      <c r="F142" s="2" t="s">
        <v>11</v>
      </c>
      <c r="G142" s="3">
        <f t="shared" si="2"/>
        <v>10428.209999999999</v>
      </c>
    </row>
    <row r="143" spans="1:7" x14ac:dyDescent="0.3">
      <c r="A143" s="2" t="s">
        <v>20</v>
      </c>
      <c r="B143" s="2" t="s">
        <v>21</v>
      </c>
      <c r="C143" s="2">
        <v>38</v>
      </c>
      <c r="D143" s="3">
        <v>272.61</v>
      </c>
      <c r="E143" s="4">
        <v>45881</v>
      </c>
      <c r="F143" s="2" t="s">
        <v>14</v>
      </c>
      <c r="G143" s="3">
        <f t="shared" si="2"/>
        <v>10359.18</v>
      </c>
    </row>
    <row r="144" spans="1:7" x14ac:dyDescent="0.3">
      <c r="A144" s="2" t="s">
        <v>38</v>
      </c>
      <c r="B144" s="2" t="s">
        <v>21</v>
      </c>
      <c r="C144" s="2">
        <v>11</v>
      </c>
      <c r="D144" s="3">
        <v>319.37</v>
      </c>
      <c r="E144" s="4">
        <v>45882</v>
      </c>
      <c r="F144" s="2" t="s">
        <v>10</v>
      </c>
      <c r="G144" s="3">
        <f t="shared" si="2"/>
        <v>3513.07</v>
      </c>
    </row>
    <row r="145" spans="1:7" x14ac:dyDescent="0.3">
      <c r="A145" s="2" t="s">
        <v>20</v>
      </c>
      <c r="B145" s="2" t="s">
        <v>21</v>
      </c>
      <c r="C145" s="2">
        <v>32</v>
      </c>
      <c r="D145" s="3">
        <v>284.22000000000003</v>
      </c>
      <c r="E145" s="4">
        <v>45882</v>
      </c>
      <c r="F145" s="2" t="s">
        <v>17</v>
      </c>
      <c r="G145" s="3">
        <f t="shared" si="2"/>
        <v>9095.0400000000009</v>
      </c>
    </row>
    <row r="146" spans="1:7" x14ac:dyDescent="0.3">
      <c r="A146" s="2" t="s">
        <v>20</v>
      </c>
      <c r="B146" s="2" t="s">
        <v>21</v>
      </c>
      <c r="C146" s="2">
        <v>19</v>
      </c>
      <c r="D146" s="3">
        <v>285.99</v>
      </c>
      <c r="E146" s="4">
        <v>45882</v>
      </c>
      <c r="F146" s="2" t="s">
        <v>14</v>
      </c>
      <c r="G146" s="3">
        <f t="shared" si="2"/>
        <v>5433.81</v>
      </c>
    </row>
    <row r="147" spans="1:7" x14ac:dyDescent="0.3">
      <c r="A147" s="2" t="s">
        <v>46</v>
      </c>
      <c r="B147" s="2" t="s">
        <v>34</v>
      </c>
      <c r="C147" s="2">
        <v>7</v>
      </c>
      <c r="D147" s="3">
        <v>441.65</v>
      </c>
      <c r="E147" s="4">
        <v>45885</v>
      </c>
      <c r="F147" s="2" t="s">
        <v>31</v>
      </c>
      <c r="G147" s="3">
        <f t="shared" si="2"/>
        <v>3091.5499999999997</v>
      </c>
    </row>
    <row r="148" spans="1:7" x14ac:dyDescent="0.3">
      <c r="A148" s="2" t="s">
        <v>38</v>
      </c>
      <c r="B148" s="2" t="s">
        <v>21</v>
      </c>
      <c r="C148" s="2">
        <v>25</v>
      </c>
      <c r="D148" s="3">
        <v>336.27</v>
      </c>
      <c r="E148" s="4">
        <v>45888</v>
      </c>
      <c r="F148" s="2" t="s">
        <v>14</v>
      </c>
      <c r="G148" s="3">
        <f t="shared" si="2"/>
        <v>8406.75</v>
      </c>
    </row>
    <row r="149" spans="1:7" x14ac:dyDescent="0.3">
      <c r="A149" s="2" t="s">
        <v>16</v>
      </c>
      <c r="B149" s="2" t="s">
        <v>13</v>
      </c>
      <c r="C149" s="2">
        <v>8</v>
      </c>
      <c r="D149" s="3">
        <v>442.08</v>
      </c>
      <c r="E149" s="4">
        <v>45891</v>
      </c>
      <c r="F149" s="2" t="s">
        <v>31</v>
      </c>
      <c r="G149" s="3">
        <f t="shared" si="2"/>
        <v>3536.64</v>
      </c>
    </row>
    <row r="150" spans="1:7" x14ac:dyDescent="0.3">
      <c r="A150" s="2" t="s">
        <v>38</v>
      </c>
      <c r="B150" s="2" t="s">
        <v>21</v>
      </c>
      <c r="C150" s="2">
        <v>8</v>
      </c>
      <c r="D150" s="3">
        <v>345.28</v>
      </c>
      <c r="E150" s="4">
        <v>45894</v>
      </c>
      <c r="F150" s="2" t="s">
        <v>17</v>
      </c>
      <c r="G150" s="3">
        <f t="shared" si="2"/>
        <v>2762.24</v>
      </c>
    </row>
    <row r="151" spans="1:7" x14ac:dyDescent="0.3">
      <c r="A151" s="2" t="s">
        <v>36</v>
      </c>
      <c r="B151" s="2" t="s">
        <v>29</v>
      </c>
      <c r="C151" s="2">
        <v>34</v>
      </c>
      <c r="D151" s="3">
        <v>938.54</v>
      </c>
      <c r="E151" s="4">
        <v>45895</v>
      </c>
      <c r="F151" s="2" t="s">
        <v>24</v>
      </c>
      <c r="G151" s="3">
        <f t="shared" si="2"/>
        <v>31910.36</v>
      </c>
    </row>
    <row r="152" spans="1:7" x14ac:dyDescent="0.3">
      <c r="A152" s="2" t="s">
        <v>15</v>
      </c>
      <c r="B152" s="2" t="s">
        <v>8</v>
      </c>
      <c r="C152" s="2">
        <v>31</v>
      </c>
      <c r="D152" s="3">
        <v>147.83000000000001</v>
      </c>
      <c r="E152" s="4">
        <v>45899</v>
      </c>
      <c r="F152" s="2" t="s">
        <v>22</v>
      </c>
      <c r="G152" s="3">
        <f t="shared" si="2"/>
        <v>4582.7300000000005</v>
      </c>
    </row>
    <row r="153" spans="1:7" x14ac:dyDescent="0.3">
      <c r="A153" s="2" t="s">
        <v>16</v>
      </c>
      <c r="B153" s="2" t="s">
        <v>13</v>
      </c>
      <c r="C153" s="2">
        <v>11</v>
      </c>
      <c r="D153" s="3">
        <v>453.59</v>
      </c>
      <c r="E153" s="4">
        <v>45901</v>
      </c>
      <c r="F153" s="2" t="s">
        <v>14</v>
      </c>
      <c r="G153" s="3">
        <f t="shared" si="2"/>
        <v>4989.49</v>
      </c>
    </row>
    <row r="154" spans="1:7" x14ac:dyDescent="0.3">
      <c r="A154" s="2" t="s">
        <v>27</v>
      </c>
      <c r="B154" s="2" t="s">
        <v>19</v>
      </c>
      <c r="C154" s="2">
        <v>35</v>
      </c>
      <c r="D154" s="3">
        <v>728</v>
      </c>
      <c r="E154" s="4">
        <v>45905</v>
      </c>
      <c r="F154" s="2" t="s">
        <v>14</v>
      </c>
      <c r="G154" s="3">
        <f t="shared" si="2"/>
        <v>25480</v>
      </c>
    </row>
    <row r="155" spans="1:7" x14ac:dyDescent="0.3">
      <c r="A155" s="2" t="s">
        <v>18</v>
      </c>
      <c r="B155" s="2" t="s">
        <v>19</v>
      </c>
      <c r="C155" s="2">
        <v>27</v>
      </c>
      <c r="D155" s="3">
        <v>278.42</v>
      </c>
      <c r="E155" s="4">
        <v>45908</v>
      </c>
      <c r="F155" s="2" t="s">
        <v>17</v>
      </c>
      <c r="G155" s="3">
        <f t="shared" si="2"/>
        <v>7517.34</v>
      </c>
    </row>
    <row r="156" spans="1:7" x14ac:dyDescent="0.3">
      <c r="A156" s="2" t="s">
        <v>25</v>
      </c>
      <c r="B156" s="2" t="s">
        <v>13</v>
      </c>
      <c r="C156" s="2">
        <v>9</v>
      </c>
      <c r="D156" s="3">
        <v>666.76</v>
      </c>
      <c r="E156" s="4">
        <v>45915</v>
      </c>
      <c r="F156" s="2" t="s">
        <v>9</v>
      </c>
      <c r="G156" s="3">
        <f t="shared" si="2"/>
        <v>6000.84</v>
      </c>
    </row>
    <row r="157" spans="1:7" x14ac:dyDescent="0.3">
      <c r="A157" s="2" t="s">
        <v>7</v>
      </c>
      <c r="B157" s="2" t="s">
        <v>8</v>
      </c>
      <c r="C157" s="2">
        <v>40</v>
      </c>
      <c r="D157" s="3">
        <v>1012.59</v>
      </c>
      <c r="E157" s="4">
        <v>45916</v>
      </c>
      <c r="F157" s="2" t="s">
        <v>39</v>
      </c>
      <c r="G157" s="3">
        <f t="shared" si="2"/>
        <v>40503.599999999999</v>
      </c>
    </row>
    <row r="158" spans="1:7" x14ac:dyDescent="0.3">
      <c r="A158" s="2" t="s">
        <v>40</v>
      </c>
      <c r="B158" s="2" t="s">
        <v>19</v>
      </c>
      <c r="C158" s="2">
        <v>20</v>
      </c>
      <c r="D158" s="3">
        <v>371.08</v>
      </c>
      <c r="E158" s="4">
        <v>45917</v>
      </c>
      <c r="F158" s="2" t="s">
        <v>26</v>
      </c>
      <c r="G158" s="3">
        <f t="shared" si="2"/>
        <v>7421.5999999999995</v>
      </c>
    </row>
    <row r="159" spans="1:7" x14ac:dyDescent="0.3">
      <c r="A159" s="2" t="s">
        <v>33</v>
      </c>
      <c r="B159" s="2" t="s">
        <v>34</v>
      </c>
      <c r="C159" s="2">
        <v>9</v>
      </c>
      <c r="D159" s="3">
        <v>88.07</v>
      </c>
      <c r="E159" s="4">
        <v>45918</v>
      </c>
      <c r="F159" s="2" t="s">
        <v>14</v>
      </c>
      <c r="G159" s="3">
        <f t="shared" si="2"/>
        <v>792.62999999999988</v>
      </c>
    </row>
    <row r="160" spans="1:7" x14ac:dyDescent="0.3">
      <c r="A160" s="2" t="s">
        <v>12</v>
      </c>
      <c r="B160" s="2" t="s">
        <v>13</v>
      </c>
      <c r="C160" s="2">
        <v>14</v>
      </c>
      <c r="D160" s="3">
        <v>382.82</v>
      </c>
      <c r="E160" s="4">
        <v>45919</v>
      </c>
      <c r="F160" s="2" t="s">
        <v>14</v>
      </c>
      <c r="G160" s="3">
        <f t="shared" si="2"/>
        <v>5359.48</v>
      </c>
    </row>
    <row r="161" spans="1:7" x14ac:dyDescent="0.3">
      <c r="A161" s="2" t="s">
        <v>42</v>
      </c>
      <c r="B161" s="2" t="s">
        <v>29</v>
      </c>
      <c r="C161" s="2">
        <v>5</v>
      </c>
      <c r="D161" s="3">
        <v>690.14</v>
      </c>
      <c r="E161" s="4">
        <v>45921</v>
      </c>
      <c r="F161" s="2" t="s">
        <v>22</v>
      </c>
      <c r="G161" s="3">
        <f t="shared" si="2"/>
        <v>3450.7</v>
      </c>
    </row>
    <row r="162" spans="1:7" x14ac:dyDescent="0.3">
      <c r="A162" s="2" t="s">
        <v>40</v>
      </c>
      <c r="B162" s="2" t="s">
        <v>19</v>
      </c>
      <c r="C162" s="2">
        <v>29</v>
      </c>
      <c r="D162" s="3">
        <v>362.07</v>
      </c>
      <c r="E162" s="4">
        <v>45922</v>
      </c>
      <c r="F162" s="2" t="s">
        <v>14</v>
      </c>
      <c r="G162" s="3">
        <f t="shared" si="2"/>
        <v>10500.03</v>
      </c>
    </row>
    <row r="163" spans="1:7" x14ac:dyDescent="0.3">
      <c r="A163" s="2" t="s">
        <v>7</v>
      </c>
      <c r="B163" s="2" t="s">
        <v>8</v>
      </c>
      <c r="C163" s="2">
        <v>31</v>
      </c>
      <c r="D163" s="3">
        <v>995.9</v>
      </c>
      <c r="E163" s="4">
        <v>45923</v>
      </c>
      <c r="F163" s="2" t="s">
        <v>14</v>
      </c>
      <c r="G163" s="3">
        <f t="shared" si="2"/>
        <v>30872.899999999998</v>
      </c>
    </row>
    <row r="164" spans="1:7" x14ac:dyDescent="0.3">
      <c r="A164" s="2" t="s">
        <v>12</v>
      </c>
      <c r="B164" s="2" t="s">
        <v>13</v>
      </c>
      <c r="C164" s="2">
        <v>13</v>
      </c>
      <c r="D164" s="3">
        <v>381.41</v>
      </c>
      <c r="E164" s="4">
        <v>45923</v>
      </c>
      <c r="F164" s="2" t="s">
        <v>11</v>
      </c>
      <c r="G164" s="3">
        <f t="shared" si="2"/>
        <v>4958.33</v>
      </c>
    </row>
    <row r="165" spans="1:7" x14ac:dyDescent="0.3">
      <c r="A165" s="2" t="s">
        <v>42</v>
      </c>
      <c r="B165" s="2" t="s">
        <v>29</v>
      </c>
      <c r="C165" s="2">
        <v>1</v>
      </c>
      <c r="D165" s="3">
        <v>677.39</v>
      </c>
      <c r="E165" s="4">
        <v>45924</v>
      </c>
      <c r="F165" s="2" t="s">
        <v>10</v>
      </c>
      <c r="G165" s="3">
        <f t="shared" si="2"/>
        <v>677.39</v>
      </c>
    </row>
    <row r="166" spans="1:7" x14ac:dyDescent="0.3">
      <c r="A166" s="2" t="s">
        <v>20</v>
      </c>
      <c r="B166" s="2" t="s">
        <v>21</v>
      </c>
      <c r="C166" s="2">
        <v>18</v>
      </c>
      <c r="D166" s="3">
        <v>293.36</v>
      </c>
      <c r="E166" s="4">
        <v>45924</v>
      </c>
      <c r="F166" s="2" t="s">
        <v>14</v>
      </c>
      <c r="G166" s="3">
        <f t="shared" si="2"/>
        <v>5280.4800000000005</v>
      </c>
    </row>
    <row r="167" spans="1:7" x14ac:dyDescent="0.3">
      <c r="A167" s="2" t="s">
        <v>30</v>
      </c>
      <c r="B167" s="2" t="s">
        <v>8</v>
      </c>
      <c r="C167" s="2">
        <v>5</v>
      </c>
      <c r="D167" s="3">
        <v>202.64</v>
      </c>
      <c r="E167" s="4">
        <v>45930</v>
      </c>
      <c r="F167" s="2" t="s">
        <v>31</v>
      </c>
      <c r="G167" s="3">
        <f t="shared" si="2"/>
        <v>1013.1999999999999</v>
      </c>
    </row>
    <row r="168" spans="1:7" x14ac:dyDescent="0.3">
      <c r="A168" s="2" t="s">
        <v>35</v>
      </c>
      <c r="B168" s="2" t="s">
        <v>21</v>
      </c>
      <c r="C168" s="2">
        <v>27</v>
      </c>
      <c r="D168" s="3">
        <v>199.11</v>
      </c>
      <c r="E168" s="4">
        <v>45933</v>
      </c>
      <c r="F168" s="2" t="s">
        <v>10</v>
      </c>
      <c r="G168" s="3">
        <f t="shared" si="2"/>
        <v>5375.97</v>
      </c>
    </row>
    <row r="169" spans="1:7" x14ac:dyDescent="0.3">
      <c r="A169" s="2" t="s">
        <v>20</v>
      </c>
      <c r="B169" s="2" t="s">
        <v>21</v>
      </c>
      <c r="C169" s="2">
        <v>14</v>
      </c>
      <c r="D169" s="3">
        <v>290.35000000000002</v>
      </c>
      <c r="E169" s="4">
        <v>45934</v>
      </c>
      <c r="F169" s="2" t="s">
        <v>31</v>
      </c>
      <c r="G169" s="3">
        <f t="shared" si="2"/>
        <v>4064.9000000000005</v>
      </c>
    </row>
    <row r="170" spans="1:7" x14ac:dyDescent="0.3">
      <c r="A170" s="2" t="s">
        <v>38</v>
      </c>
      <c r="B170" s="2" t="s">
        <v>21</v>
      </c>
      <c r="C170" s="2">
        <v>21</v>
      </c>
      <c r="D170" s="3">
        <v>315.3</v>
      </c>
      <c r="E170" s="4">
        <v>45934</v>
      </c>
      <c r="F170" s="2" t="s">
        <v>17</v>
      </c>
      <c r="G170" s="3">
        <f t="shared" si="2"/>
        <v>6621.3</v>
      </c>
    </row>
    <row r="171" spans="1:7" x14ac:dyDescent="0.3">
      <c r="A171" s="2" t="s">
        <v>37</v>
      </c>
      <c r="B171" s="2" t="s">
        <v>34</v>
      </c>
      <c r="C171" s="2">
        <v>32</v>
      </c>
      <c r="D171" s="3">
        <v>279.25</v>
      </c>
      <c r="E171" s="4">
        <v>45935</v>
      </c>
      <c r="F171" s="2" t="s">
        <v>24</v>
      </c>
      <c r="G171" s="3">
        <f t="shared" si="2"/>
        <v>8936</v>
      </c>
    </row>
    <row r="172" spans="1:7" x14ac:dyDescent="0.3">
      <c r="A172" s="2" t="s">
        <v>15</v>
      </c>
      <c r="B172" s="2" t="s">
        <v>8</v>
      </c>
      <c r="C172" s="2">
        <v>26</v>
      </c>
      <c r="D172" s="3">
        <v>152.16</v>
      </c>
      <c r="E172" s="4">
        <v>45939</v>
      </c>
      <c r="F172" s="2" t="s">
        <v>24</v>
      </c>
      <c r="G172" s="3">
        <f t="shared" si="2"/>
        <v>3956.16</v>
      </c>
    </row>
    <row r="173" spans="1:7" x14ac:dyDescent="0.3">
      <c r="A173" s="2" t="s">
        <v>16</v>
      </c>
      <c r="B173" s="2" t="s">
        <v>13</v>
      </c>
      <c r="C173" s="2">
        <v>22</v>
      </c>
      <c r="D173" s="3">
        <v>455.83</v>
      </c>
      <c r="E173" s="4">
        <v>45940</v>
      </c>
      <c r="F173" s="2" t="s">
        <v>10</v>
      </c>
      <c r="G173" s="3">
        <f t="shared" si="2"/>
        <v>10028.26</v>
      </c>
    </row>
    <row r="174" spans="1:7" x14ac:dyDescent="0.3">
      <c r="A174" s="2" t="s">
        <v>27</v>
      </c>
      <c r="B174" s="2" t="s">
        <v>19</v>
      </c>
      <c r="C174" s="2">
        <v>18</v>
      </c>
      <c r="D174" s="3">
        <v>718.4</v>
      </c>
      <c r="E174" s="4">
        <v>45942</v>
      </c>
      <c r="F174" s="2" t="s">
        <v>24</v>
      </c>
      <c r="G174" s="3">
        <f t="shared" si="2"/>
        <v>12931.199999999999</v>
      </c>
    </row>
    <row r="175" spans="1:7" x14ac:dyDescent="0.3">
      <c r="A175" s="2" t="s">
        <v>28</v>
      </c>
      <c r="B175" s="2" t="s">
        <v>29</v>
      </c>
      <c r="C175" s="2">
        <v>16</v>
      </c>
      <c r="D175" s="3">
        <v>472.53</v>
      </c>
      <c r="E175" s="4">
        <v>45945</v>
      </c>
      <c r="F175" s="2" t="s">
        <v>10</v>
      </c>
      <c r="G175" s="3">
        <f t="shared" si="2"/>
        <v>7560.48</v>
      </c>
    </row>
    <row r="176" spans="1:7" x14ac:dyDescent="0.3">
      <c r="A176" s="2" t="s">
        <v>28</v>
      </c>
      <c r="B176" s="2" t="s">
        <v>29</v>
      </c>
      <c r="C176" s="2">
        <v>8</v>
      </c>
      <c r="D176" s="3">
        <v>485.55</v>
      </c>
      <c r="E176" s="4">
        <v>45946</v>
      </c>
      <c r="F176" s="2" t="s">
        <v>22</v>
      </c>
      <c r="G176" s="3">
        <f t="shared" si="2"/>
        <v>3884.4</v>
      </c>
    </row>
    <row r="177" spans="1:7" x14ac:dyDescent="0.3">
      <c r="A177" s="2" t="s">
        <v>44</v>
      </c>
      <c r="B177" s="2" t="s">
        <v>29</v>
      </c>
      <c r="C177" s="2">
        <v>38</v>
      </c>
      <c r="D177" s="3">
        <v>220.99</v>
      </c>
      <c r="E177" s="4">
        <v>45947</v>
      </c>
      <c r="F177" s="2" t="s">
        <v>10</v>
      </c>
      <c r="G177" s="3">
        <f t="shared" si="2"/>
        <v>8397.6200000000008</v>
      </c>
    </row>
    <row r="178" spans="1:7" x14ac:dyDescent="0.3">
      <c r="A178" s="2" t="s">
        <v>40</v>
      </c>
      <c r="B178" s="2" t="s">
        <v>19</v>
      </c>
      <c r="C178" s="2">
        <v>8</v>
      </c>
      <c r="D178" s="3">
        <v>359.82</v>
      </c>
      <c r="E178" s="4">
        <v>45947</v>
      </c>
      <c r="F178" s="2" t="s">
        <v>24</v>
      </c>
      <c r="G178" s="3">
        <f t="shared" si="2"/>
        <v>2878.56</v>
      </c>
    </row>
    <row r="179" spans="1:7" x14ac:dyDescent="0.3">
      <c r="A179" s="2" t="s">
        <v>37</v>
      </c>
      <c r="B179" s="2" t="s">
        <v>34</v>
      </c>
      <c r="C179" s="2">
        <v>14</v>
      </c>
      <c r="D179" s="3">
        <v>256.05</v>
      </c>
      <c r="E179" s="4">
        <v>45948</v>
      </c>
      <c r="F179" s="2" t="s">
        <v>11</v>
      </c>
      <c r="G179" s="3">
        <f t="shared" si="2"/>
        <v>3584.7000000000003</v>
      </c>
    </row>
    <row r="180" spans="1:7" x14ac:dyDescent="0.3">
      <c r="A180" s="2" t="s">
        <v>45</v>
      </c>
      <c r="B180" s="2" t="s">
        <v>29</v>
      </c>
      <c r="C180" s="2">
        <v>20</v>
      </c>
      <c r="D180" s="3">
        <v>266.56</v>
      </c>
      <c r="E180" s="4">
        <v>45952</v>
      </c>
      <c r="F180" s="2" t="s">
        <v>39</v>
      </c>
      <c r="G180" s="3">
        <f t="shared" si="2"/>
        <v>5331.2</v>
      </c>
    </row>
    <row r="181" spans="1:7" x14ac:dyDescent="0.3">
      <c r="A181" s="2" t="s">
        <v>30</v>
      </c>
      <c r="B181" s="2" t="s">
        <v>8</v>
      </c>
      <c r="C181" s="2">
        <v>37</v>
      </c>
      <c r="D181" s="3">
        <v>214.32</v>
      </c>
      <c r="E181" s="4">
        <v>45953</v>
      </c>
      <c r="F181" s="2" t="s">
        <v>14</v>
      </c>
      <c r="G181" s="3">
        <f t="shared" si="2"/>
        <v>7929.84</v>
      </c>
    </row>
    <row r="182" spans="1:7" x14ac:dyDescent="0.3">
      <c r="A182" s="2" t="s">
        <v>23</v>
      </c>
      <c r="B182" s="2" t="s">
        <v>19</v>
      </c>
      <c r="C182" s="2">
        <v>18</v>
      </c>
      <c r="D182" s="3">
        <v>343.55</v>
      </c>
      <c r="E182" s="4">
        <v>45953</v>
      </c>
      <c r="F182" s="2" t="s">
        <v>24</v>
      </c>
      <c r="G182" s="3">
        <f t="shared" si="2"/>
        <v>6183.9000000000005</v>
      </c>
    </row>
    <row r="183" spans="1:7" x14ac:dyDescent="0.3">
      <c r="A183" s="2" t="s">
        <v>20</v>
      </c>
      <c r="B183" s="2" t="s">
        <v>21</v>
      </c>
      <c r="C183" s="2">
        <v>28</v>
      </c>
      <c r="D183" s="3">
        <v>293.19</v>
      </c>
      <c r="E183" s="4">
        <v>45956</v>
      </c>
      <c r="F183" s="2" t="s">
        <v>39</v>
      </c>
      <c r="G183" s="3">
        <f t="shared" si="2"/>
        <v>8209.32</v>
      </c>
    </row>
    <row r="184" spans="1:7" x14ac:dyDescent="0.3">
      <c r="A184" s="2" t="s">
        <v>16</v>
      </c>
      <c r="B184" s="2" t="s">
        <v>13</v>
      </c>
      <c r="C184" s="2">
        <v>24</v>
      </c>
      <c r="D184" s="3">
        <v>429.61</v>
      </c>
      <c r="E184" s="4">
        <v>45956</v>
      </c>
      <c r="F184" s="2" t="s">
        <v>10</v>
      </c>
      <c r="G184" s="3">
        <f t="shared" si="2"/>
        <v>10310.64</v>
      </c>
    </row>
    <row r="185" spans="1:7" x14ac:dyDescent="0.3">
      <c r="A185" s="2" t="s">
        <v>16</v>
      </c>
      <c r="B185" s="2" t="s">
        <v>13</v>
      </c>
      <c r="C185" s="2">
        <v>26</v>
      </c>
      <c r="D185" s="3">
        <v>429.08</v>
      </c>
      <c r="E185" s="4">
        <v>45961</v>
      </c>
      <c r="F185" s="2" t="s">
        <v>9</v>
      </c>
      <c r="G185" s="3">
        <f t="shared" si="2"/>
        <v>11156.08</v>
      </c>
    </row>
    <row r="186" spans="1:7" x14ac:dyDescent="0.3">
      <c r="A186" s="2" t="s">
        <v>12</v>
      </c>
      <c r="B186" s="2" t="s">
        <v>13</v>
      </c>
      <c r="C186" s="2">
        <v>36</v>
      </c>
      <c r="D186" s="3">
        <v>393.98</v>
      </c>
      <c r="E186" s="4">
        <v>45962</v>
      </c>
      <c r="F186" s="2" t="s">
        <v>11</v>
      </c>
      <c r="G186" s="3">
        <f t="shared" si="2"/>
        <v>14183.28</v>
      </c>
    </row>
    <row r="187" spans="1:7" x14ac:dyDescent="0.3">
      <c r="A187" s="2" t="s">
        <v>16</v>
      </c>
      <c r="B187" s="2" t="s">
        <v>13</v>
      </c>
      <c r="C187" s="2">
        <v>39</v>
      </c>
      <c r="D187" s="3">
        <v>472.22</v>
      </c>
      <c r="E187" s="4">
        <v>45963</v>
      </c>
      <c r="F187" s="2" t="s">
        <v>9</v>
      </c>
      <c r="G187" s="3">
        <f t="shared" si="2"/>
        <v>18416.580000000002</v>
      </c>
    </row>
    <row r="188" spans="1:7" x14ac:dyDescent="0.3">
      <c r="A188" s="2" t="s">
        <v>37</v>
      </c>
      <c r="B188" s="2" t="s">
        <v>34</v>
      </c>
      <c r="C188" s="2">
        <v>23</v>
      </c>
      <c r="D188" s="3">
        <v>250.27</v>
      </c>
      <c r="E188" s="4">
        <v>45967</v>
      </c>
      <c r="F188" s="2" t="s">
        <v>26</v>
      </c>
      <c r="G188" s="3">
        <f t="shared" si="2"/>
        <v>5756.21</v>
      </c>
    </row>
    <row r="189" spans="1:7" x14ac:dyDescent="0.3">
      <c r="A189" s="2" t="s">
        <v>30</v>
      </c>
      <c r="B189" s="2" t="s">
        <v>8</v>
      </c>
      <c r="C189" s="2">
        <v>28</v>
      </c>
      <c r="D189" s="3">
        <v>210.45</v>
      </c>
      <c r="E189" s="4">
        <v>45968</v>
      </c>
      <c r="F189" s="2" t="s">
        <v>10</v>
      </c>
      <c r="G189" s="3">
        <f t="shared" si="2"/>
        <v>5892.5999999999995</v>
      </c>
    </row>
    <row r="190" spans="1:7" x14ac:dyDescent="0.3">
      <c r="A190" s="2" t="s">
        <v>43</v>
      </c>
      <c r="B190" s="2" t="s">
        <v>29</v>
      </c>
      <c r="C190" s="2">
        <v>38</v>
      </c>
      <c r="D190" s="3">
        <v>150.88</v>
      </c>
      <c r="E190" s="4">
        <v>45968</v>
      </c>
      <c r="F190" s="2" t="s">
        <v>11</v>
      </c>
      <c r="G190" s="3">
        <f t="shared" si="2"/>
        <v>5733.44</v>
      </c>
    </row>
    <row r="191" spans="1:7" x14ac:dyDescent="0.3">
      <c r="A191" s="2" t="s">
        <v>42</v>
      </c>
      <c r="B191" s="2" t="s">
        <v>29</v>
      </c>
      <c r="C191" s="2">
        <v>31</v>
      </c>
      <c r="D191" s="3">
        <v>638.19000000000005</v>
      </c>
      <c r="E191" s="4">
        <v>45970</v>
      </c>
      <c r="F191" s="2" t="s">
        <v>17</v>
      </c>
      <c r="G191" s="3">
        <f t="shared" si="2"/>
        <v>19783.890000000003</v>
      </c>
    </row>
    <row r="192" spans="1:7" x14ac:dyDescent="0.3">
      <c r="A192" s="2" t="s">
        <v>38</v>
      </c>
      <c r="B192" s="2" t="s">
        <v>21</v>
      </c>
      <c r="C192" s="2">
        <v>37</v>
      </c>
      <c r="D192" s="3">
        <v>335.22</v>
      </c>
      <c r="E192" s="4">
        <v>45970</v>
      </c>
      <c r="F192" s="2" t="s">
        <v>39</v>
      </c>
      <c r="G192" s="3">
        <f t="shared" si="2"/>
        <v>12403.140000000001</v>
      </c>
    </row>
    <row r="193" spans="1:7" x14ac:dyDescent="0.3">
      <c r="A193" s="2" t="s">
        <v>40</v>
      </c>
      <c r="B193" s="2" t="s">
        <v>19</v>
      </c>
      <c r="C193" s="2">
        <v>12</v>
      </c>
      <c r="D193" s="3">
        <v>366.54</v>
      </c>
      <c r="E193" s="4">
        <v>45973</v>
      </c>
      <c r="F193" s="2" t="s">
        <v>9</v>
      </c>
      <c r="G193" s="3">
        <f t="shared" si="2"/>
        <v>4398.4800000000005</v>
      </c>
    </row>
    <row r="194" spans="1:7" x14ac:dyDescent="0.3">
      <c r="A194" s="2" t="s">
        <v>44</v>
      </c>
      <c r="B194" s="2" t="s">
        <v>29</v>
      </c>
      <c r="C194" s="2">
        <v>22</v>
      </c>
      <c r="D194" s="3">
        <v>236.14</v>
      </c>
      <c r="E194" s="4">
        <v>45977</v>
      </c>
      <c r="F194" s="2" t="s">
        <v>11</v>
      </c>
      <c r="G194" s="3">
        <f t="shared" ref="G194:G221" si="3">C194*D194</f>
        <v>5195.08</v>
      </c>
    </row>
    <row r="195" spans="1:7" x14ac:dyDescent="0.3">
      <c r="A195" s="2" t="s">
        <v>7</v>
      </c>
      <c r="B195" s="2" t="s">
        <v>8</v>
      </c>
      <c r="C195" s="2">
        <v>7</v>
      </c>
      <c r="D195" s="3">
        <v>924.56</v>
      </c>
      <c r="E195" s="4">
        <v>45978</v>
      </c>
      <c r="F195" s="2" t="s">
        <v>26</v>
      </c>
      <c r="G195" s="3">
        <f t="shared" si="3"/>
        <v>6471.92</v>
      </c>
    </row>
    <row r="196" spans="1:7" x14ac:dyDescent="0.3">
      <c r="A196" s="2" t="s">
        <v>16</v>
      </c>
      <c r="B196" s="2" t="s">
        <v>13</v>
      </c>
      <c r="C196" s="2">
        <v>9</v>
      </c>
      <c r="D196" s="3">
        <v>444.59</v>
      </c>
      <c r="E196" s="4">
        <v>45984</v>
      </c>
      <c r="F196" s="2" t="s">
        <v>14</v>
      </c>
      <c r="G196" s="3">
        <f t="shared" si="3"/>
        <v>4001.31</v>
      </c>
    </row>
    <row r="197" spans="1:7" x14ac:dyDescent="0.3">
      <c r="A197" s="2" t="s">
        <v>43</v>
      </c>
      <c r="B197" s="2" t="s">
        <v>29</v>
      </c>
      <c r="C197" s="2">
        <v>26</v>
      </c>
      <c r="D197" s="3">
        <v>155.28</v>
      </c>
      <c r="E197" s="4">
        <v>45987</v>
      </c>
      <c r="F197" s="2" t="s">
        <v>14</v>
      </c>
      <c r="G197" s="3">
        <f t="shared" si="3"/>
        <v>4037.28</v>
      </c>
    </row>
    <row r="198" spans="1:7" x14ac:dyDescent="0.3">
      <c r="A198" s="2" t="s">
        <v>46</v>
      </c>
      <c r="B198" s="2" t="s">
        <v>34</v>
      </c>
      <c r="C198" s="2">
        <v>15</v>
      </c>
      <c r="D198" s="3">
        <v>395.62</v>
      </c>
      <c r="E198" s="4">
        <v>45989</v>
      </c>
      <c r="F198" s="2" t="s">
        <v>31</v>
      </c>
      <c r="G198" s="3">
        <f t="shared" si="3"/>
        <v>5934.3</v>
      </c>
    </row>
    <row r="199" spans="1:7" x14ac:dyDescent="0.3">
      <c r="A199" s="2" t="s">
        <v>46</v>
      </c>
      <c r="B199" s="2" t="s">
        <v>34</v>
      </c>
      <c r="C199" s="2">
        <v>34</v>
      </c>
      <c r="D199" s="3">
        <v>398.89</v>
      </c>
      <c r="E199" s="4">
        <v>45991</v>
      </c>
      <c r="F199" s="2" t="s">
        <v>26</v>
      </c>
      <c r="G199" s="3">
        <f t="shared" si="3"/>
        <v>13562.26</v>
      </c>
    </row>
    <row r="200" spans="1:7" x14ac:dyDescent="0.3">
      <c r="A200" s="2" t="s">
        <v>25</v>
      </c>
      <c r="B200" s="2" t="s">
        <v>13</v>
      </c>
      <c r="C200" s="2">
        <v>10</v>
      </c>
      <c r="D200" s="3">
        <v>621.21</v>
      </c>
      <c r="E200" s="4">
        <v>45993</v>
      </c>
      <c r="F200" s="2" t="s">
        <v>24</v>
      </c>
      <c r="G200" s="3">
        <f t="shared" si="3"/>
        <v>6212.1</v>
      </c>
    </row>
    <row r="201" spans="1:7" x14ac:dyDescent="0.3">
      <c r="A201" s="2" t="s">
        <v>43</v>
      </c>
      <c r="B201" s="2" t="s">
        <v>29</v>
      </c>
      <c r="C201" s="2">
        <v>3</v>
      </c>
      <c r="D201" s="3">
        <v>156.24</v>
      </c>
      <c r="E201" s="4">
        <v>45996</v>
      </c>
      <c r="F201" s="2" t="s">
        <v>22</v>
      </c>
      <c r="G201" s="3">
        <f t="shared" si="3"/>
        <v>468.72</v>
      </c>
    </row>
    <row r="202" spans="1:7" x14ac:dyDescent="0.3">
      <c r="A202" s="2" t="s">
        <v>35</v>
      </c>
      <c r="B202" s="2" t="s">
        <v>21</v>
      </c>
      <c r="C202" s="2">
        <v>36</v>
      </c>
      <c r="D202" s="3">
        <v>190.95</v>
      </c>
      <c r="E202" s="4">
        <v>45996</v>
      </c>
      <c r="F202" s="2" t="s">
        <v>14</v>
      </c>
      <c r="G202" s="3">
        <f t="shared" si="3"/>
        <v>6874.2</v>
      </c>
    </row>
    <row r="203" spans="1:7" x14ac:dyDescent="0.3">
      <c r="A203" s="2" t="s">
        <v>20</v>
      </c>
      <c r="B203" s="2" t="s">
        <v>21</v>
      </c>
      <c r="C203" s="2">
        <v>38</v>
      </c>
      <c r="D203" s="3">
        <v>294.68</v>
      </c>
      <c r="E203" s="4">
        <v>45996</v>
      </c>
      <c r="F203" s="2" t="s">
        <v>22</v>
      </c>
      <c r="G203" s="3">
        <f t="shared" si="3"/>
        <v>11197.84</v>
      </c>
    </row>
    <row r="204" spans="1:7" x14ac:dyDescent="0.3">
      <c r="A204" s="2" t="s">
        <v>16</v>
      </c>
      <c r="B204" s="2" t="s">
        <v>13</v>
      </c>
      <c r="C204" s="2">
        <v>27</v>
      </c>
      <c r="D204" s="3">
        <v>434.95</v>
      </c>
      <c r="E204" s="4">
        <v>45998</v>
      </c>
      <c r="F204" s="2" t="s">
        <v>39</v>
      </c>
      <c r="G204" s="3">
        <f t="shared" si="3"/>
        <v>11743.65</v>
      </c>
    </row>
    <row r="205" spans="1:7" x14ac:dyDescent="0.3">
      <c r="A205" s="2" t="s">
        <v>41</v>
      </c>
      <c r="B205" s="2" t="s">
        <v>34</v>
      </c>
      <c r="C205" s="2">
        <v>14</v>
      </c>
      <c r="D205" s="3">
        <v>364.31</v>
      </c>
      <c r="E205" s="4">
        <v>46000</v>
      </c>
      <c r="F205" s="2" t="s">
        <v>11</v>
      </c>
      <c r="G205" s="3">
        <f t="shared" si="3"/>
        <v>5100.34</v>
      </c>
    </row>
    <row r="206" spans="1:7" x14ac:dyDescent="0.3">
      <c r="A206" s="2" t="s">
        <v>38</v>
      </c>
      <c r="B206" s="2" t="s">
        <v>21</v>
      </c>
      <c r="C206" s="2">
        <v>9</v>
      </c>
      <c r="D206" s="3">
        <v>315.05</v>
      </c>
      <c r="E206" s="4">
        <v>46001</v>
      </c>
      <c r="F206" s="2" t="s">
        <v>26</v>
      </c>
      <c r="G206" s="3">
        <f t="shared" si="3"/>
        <v>2835.4500000000003</v>
      </c>
    </row>
    <row r="207" spans="1:7" x14ac:dyDescent="0.3">
      <c r="A207" s="2" t="s">
        <v>12</v>
      </c>
      <c r="B207" s="2" t="s">
        <v>13</v>
      </c>
      <c r="C207" s="2">
        <v>4</v>
      </c>
      <c r="D207" s="3">
        <v>403.67</v>
      </c>
      <c r="E207" s="4">
        <v>46002</v>
      </c>
      <c r="F207" s="2" t="s">
        <v>17</v>
      </c>
      <c r="G207" s="3">
        <f t="shared" si="3"/>
        <v>1614.68</v>
      </c>
    </row>
    <row r="208" spans="1:7" x14ac:dyDescent="0.3">
      <c r="A208" s="2" t="s">
        <v>20</v>
      </c>
      <c r="B208" s="2" t="s">
        <v>21</v>
      </c>
      <c r="C208" s="2">
        <v>15</v>
      </c>
      <c r="D208" s="3">
        <v>266.94</v>
      </c>
      <c r="E208" s="4">
        <v>46003</v>
      </c>
      <c r="F208" s="2" t="s">
        <v>9</v>
      </c>
      <c r="G208" s="3">
        <f t="shared" si="3"/>
        <v>4004.1</v>
      </c>
    </row>
    <row r="209" spans="1:7" x14ac:dyDescent="0.3">
      <c r="A209" s="2" t="s">
        <v>47</v>
      </c>
      <c r="B209" s="2" t="s">
        <v>29</v>
      </c>
      <c r="C209" s="2">
        <v>8</v>
      </c>
      <c r="D209" s="3">
        <v>1505.73</v>
      </c>
      <c r="E209" s="4">
        <v>46007</v>
      </c>
      <c r="F209" s="2" t="s">
        <v>10</v>
      </c>
      <c r="G209" s="3">
        <f t="shared" si="3"/>
        <v>12045.84</v>
      </c>
    </row>
    <row r="210" spans="1:7" x14ac:dyDescent="0.3">
      <c r="A210" s="2" t="s">
        <v>42</v>
      </c>
      <c r="B210" s="2" t="s">
        <v>29</v>
      </c>
      <c r="C210" s="2">
        <v>14</v>
      </c>
      <c r="D210" s="3">
        <v>693.46</v>
      </c>
      <c r="E210" s="4">
        <v>46007</v>
      </c>
      <c r="F210" s="2" t="s">
        <v>22</v>
      </c>
      <c r="G210" s="3">
        <f t="shared" si="3"/>
        <v>9708.44</v>
      </c>
    </row>
    <row r="211" spans="1:7" x14ac:dyDescent="0.3">
      <c r="A211" s="2" t="s">
        <v>16</v>
      </c>
      <c r="B211" s="2" t="s">
        <v>13</v>
      </c>
      <c r="C211" s="2">
        <v>5</v>
      </c>
      <c r="D211" s="3">
        <v>428.07</v>
      </c>
      <c r="E211" s="4">
        <v>46011</v>
      </c>
      <c r="F211" s="2" t="s">
        <v>31</v>
      </c>
      <c r="G211" s="3">
        <f t="shared" si="3"/>
        <v>2140.35</v>
      </c>
    </row>
    <row r="212" spans="1:7" x14ac:dyDescent="0.3">
      <c r="A212" s="2" t="s">
        <v>25</v>
      </c>
      <c r="B212" s="2" t="s">
        <v>13</v>
      </c>
      <c r="C212" s="2">
        <v>16</v>
      </c>
      <c r="D212" s="3">
        <v>633.75</v>
      </c>
      <c r="E212" s="4">
        <v>46011</v>
      </c>
      <c r="F212" s="2" t="s">
        <v>14</v>
      </c>
      <c r="G212" s="3">
        <f t="shared" si="3"/>
        <v>10140</v>
      </c>
    </row>
    <row r="213" spans="1:7" x14ac:dyDescent="0.3">
      <c r="A213" s="2" t="s">
        <v>41</v>
      </c>
      <c r="B213" s="2" t="s">
        <v>34</v>
      </c>
      <c r="C213" s="2">
        <v>35</v>
      </c>
      <c r="D213" s="3">
        <v>328.28</v>
      </c>
      <c r="E213" s="4">
        <v>46011</v>
      </c>
      <c r="F213" s="2" t="s">
        <v>31</v>
      </c>
      <c r="G213" s="3">
        <f t="shared" si="3"/>
        <v>11489.8</v>
      </c>
    </row>
    <row r="214" spans="1:7" x14ac:dyDescent="0.3">
      <c r="A214" s="2" t="s">
        <v>28</v>
      </c>
      <c r="B214" s="2" t="s">
        <v>29</v>
      </c>
      <c r="C214" s="2">
        <v>25</v>
      </c>
      <c r="D214" s="3">
        <v>465.41</v>
      </c>
      <c r="E214" s="4">
        <v>46013</v>
      </c>
      <c r="F214" s="2" t="s">
        <v>31</v>
      </c>
      <c r="G214" s="3">
        <f t="shared" si="3"/>
        <v>11635.25</v>
      </c>
    </row>
    <row r="215" spans="1:7" x14ac:dyDescent="0.3">
      <c r="A215" s="2" t="s">
        <v>40</v>
      </c>
      <c r="B215" s="2" t="s">
        <v>19</v>
      </c>
      <c r="C215" s="2">
        <v>26</v>
      </c>
      <c r="D215" s="3">
        <v>351.08</v>
      </c>
      <c r="E215" s="4">
        <v>46014</v>
      </c>
      <c r="F215" s="2" t="s">
        <v>26</v>
      </c>
      <c r="G215" s="3">
        <f t="shared" si="3"/>
        <v>9128.08</v>
      </c>
    </row>
    <row r="216" spans="1:7" x14ac:dyDescent="0.3">
      <c r="A216" s="2" t="s">
        <v>37</v>
      </c>
      <c r="B216" s="2" t="s">
        <v>34</v>
      </c>
      <c r="C216" s="2">
        <v>38</v>
      </c>
      <c r="D216" s="3">
        <v>277.58</v>
      </c>
      <c r="E216" s="4">
        <v>46014</v>
      </c>
      <c r="F216" s="2" t="s">
        <v>24</v>
      </c>
      <c r="G216" s="3">
        <f t="shared" si="3"/>
        <v>10548.039999999999</v>
      </c>
    </row>
    <row r="217" spans="1:7" x14ac:dyDescent="0.3">
      <c r="A217" s="2" t="s">
        <v>45</v>
      </c>
      <c r="B217" s="2" t="s">
        <v>29</v>
      </c>
      <c r="C217" s="2">
        <v>20</v>
      </c>
      <c r="D217" s="3">
        <v>262.83999999999997</v>
      </c>
      <c r="E217" s="4">
        <v>46016</v>
      </c>
      <c r="F217" s="2" t="s">
        <v>39</v>
      </c>
      <c r="G217" s="3">
        <f t="shared" si="3"/>
        <v>5256.7999999999993</v>
      </c>
    </row>
    <row r="218" spans="1:7" x14ac:dyDescent="0.3">
      <c r="A218" s="2" t="s">
        <v>33</v>
      </c>
      <c r="B218" s="2" t="s">
        <v>34</v>
      </c>
      <c r="C218" s="2">
        <v>18</v>
      </c>
      <c r="D218" s="3">
        <v>87.95</v>
      </c>
      <c r="E218" s="4">
        <v>46017</v>
      </c>
      <c r="F218" s="2" t="s">
        <v>17</v>
      </c>
      <c r="G218" s="3">
        <f t="shared" si="3"/>
        <v>1583.1000000000001</v>
      </c>
    </row>
    <row r="219" spans="1:7" x14ac:dyDescent="0.3">
      <c r="A219" s="2" t="s">
        <v>30</v>
      </c>
      <c r="B219" s="2" t="s">
        <v>8</v>
      </c>
      <c r="C219" s="2">
        <v>23</v>
      </c>
      <c r="D219" s="3">
        <v>204.31</v>
      </c>
      <c r="E219" s="4">
        <v>46017</v>
      </c>
      <c r="F219" s="2" t="s">
        <v>14</v>
      </c>
      <c r="G219" s="3">
        <f t="shared" si="3"/>
        <v>4699.13</v>
      </c>
    </row>
    <row r="220" spans="1:7" x14ac:dyDescent="0.3">
      <c r="A220" s="2" t="s">
        <v>36</v>
      </c>
      <c r="B220" s="2" t="s">
        <v>29</v>
      </c>
      <c r="C220" s="2">
        <v>36</v>
      </c>
      <c r="D220" s="3">
        <v>931.26</v>
      </c>
      <c r="E220" s="4">
        <v>46019</v>
      </c>
      <c r="F220" s="2" t="s">
        <v>39</v>
      </c>
      <c r="G220" s="3">
        <f t="shared" si="3"/>
        <v>33525.360000000001</v>
      </c>
    </row>
    <row r="221" spans="1:7" x14ac:dyDescent="0.3">
      <c r="A221" s="2" t="s">
        <v>46</v>
      </c>
      <c r="B221" s="2" t="s">
        <v>34</v>
      </c>
      <c r="C221" s="2">
        <v>30</v>
      </c>
      <c r="D221" s="3">
        <v>440.71</v>
      </c>
      <c r="E221" s="4">
        <v>46020</v>
      </c>
      <c r="F221" s="2" t="s">
        <v>31</v>
      </c>
      <c r="G221" s="3">
        <f t="shared" si="3"/>
        <v>13221.3</v>
      </c>
    </row>
    <row r="223" spans="1:7" x14ac:dyDescent="0.3">
      <c r="A223" s="5" t="s">
        <v>48</v>
      </c>
      <c r="C223" s="5">
        <f>SUM(C2:C221)</f>
        <v>4658</v>
      </c>
      <c r="G223" s="6">
        <f>SUM(G2:G221)</f>
        <v>1892047.1100000006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Pivotdata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Gavesha 20260019</cp:lastModifiedBy>
  <cp:revision>0</cp:revision>
  <dcterms:created xsi:type="dcterms:W3CDTF">2026-08-19T13:16:55Z</dcterms:created>
  <dcterms:modified xsi:type="dcterms:W3CDTF">2026-08-20T13:32:27Z</dcterms:modified>
  <dc:language>en-US</dc:language>
</cp:coreProperties>
</file>